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46616094c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2ff0cbad4de4457"/>
    <x:sheet xmlns:r="http://schemas.openxmlformats.org/officeDocument/2006/relationships" name="机会扫描" sheetId="2" r:id="R81da556f93b9434e"/>
    <x:sheet xmlns:r="http://schemas.openxmlformats.org/officeDocument/2006/relationships" name="实时行情" sheetId="3" r:id="Rf41b8fbb86dc4321"/>
    <x:sheet xmlns:r="http://schemas.openxmlformats.org/officeDocument/2006/relationships" name="实时设置" sheetId="4" r:id="R084ee83402044019"/>
    <x:sheet xmlns:r="http://schemas.openxmlformats.org/officeDocument/2006/relationships" name="交易台账" sheetId="5" r:id="R04dcd8afa5b94287"/>
    <x:sheet xmlns:r="http://schemas.openxmlformats.org/officeDocument/2006/relationships" name="平台参数" sheetId="6" r:id="R1c54cd3ff3e846ca"/>
    <x:sheet xmlns:r="http://schemas.openxmlformats.org/officeDocument/2006/relationships" name="观察清单" sheetId="7" r:id="R86b87de717d14e01"/>
    <x:sheet xmlns:r="http://schemas.openxmlformats.org/officeDocument/2006/relationships" name="字段说明" sheetId="8" r:id="R5cdce4f170604e61"/>
  </x:sheets>
</x:workbook>
</file>

<file path=xl/comments1.xml><?xml version="1.0" encoding="utf-8"?>
<x:comments xmlns:x="http://schemas.openxmlformats.org/spreadsheetml/2006/main">
  <x:authors>
    <x:author>tc={F1410163-181D-6399-9360-87A5D22A362A}</x:author>
  </x:authors>
  <x:commentList>
    <x:comment ref="AC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机会评分是简化排序，不等于建议买入。高价卡仍需核验证书、壳体、成交记录和资金周转。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tc={E6F4E887-C99E-6678-F9F1-3F56797B5A82}</x:author>
  </x:authors>
  <x:commentList>
    <x:comment ref="E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默认费率只是模板假设；真实交易前请以平台最新规则和你的账号费率为准。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0.0%"/>
    <x:numFmt numFmtId="202" formatCode="General"/>
    <x:numFmt numFmtId="203" formatCode="#,##0"/>
    <x:numFmt numFmtId="204" formatCode="yyyy-mm-dd hh:mm"/>
    <x:numFmt numFmtId="205" formatCode="0.0"/>
    <x:numFmt numFmtId="206" formatCode="yyyy-mm-dd"/>
  </x:numFmts>
  <x:fonts count="14">
    <x:font>
      <x:sz val="11"/>
      <x:name val="Carlito"/>
    </x:font>
    <x:font>
      <x:b/>
      <x:sz val="16"/>
      <x:color rgb="FFFFFFFF"/>
      <x:name val="Carlito"/>
    </x:font>
    <x:font>
      <x:sz val="10"/>
      <x:color rgb="FF31475A"/>
      <x:name val="Carlito"/>
    </x:font>
    <x:font>
      <x:b/>
      <x:sz val="11"/>
      <x:color rgb="FFFFFFFF"/>
      <x:name val="Carlito"/>
    </x:font>
    <x:font>
      <x:sz val="11"/>
      <x:color rgb="FF182230"/>
      <x:name val="Carlito"/>
    </x:font>
    <x:font>
      <x:b/>
      <x:sz val="11"/>
      <x:color rgb="FF182230"/>
      <x:name val="Carlito"/>
    </x:font>
    <x:font>
      <x:b/>
      <x:sz val="11"/>
      <x:color rgb="FF0F5132"/>
      <x:name val="Carlito"/>
    </x:font>
    <x:font>
      <x:b/>
      <x:sz val="16"/>
      <x:color rgb="FFFFFFFF"/>
      <x:name val="Arial"/>
    </x:font>
    <x:font>
      <x:sz val="10"/>
      <x:color rgb="FF31475A"/>
      <x:name val="Arial"/>
    </x:font>
    <x:font>
      <x:sz val="11"/>
      <x:name val="Arial"/>
    </x:font>
    <x:font>
      <x:b/>
      <x:sz val="11"/>
      <x:color rgb="FF182230"/>
      <x:name val="Arial"/>
    </x:font>
    <x:font>
      <x:b/>
      <x:sz val="11"/>
      <x:color rgb="FF0F5132"/>
      <x:name val="Arial"/>
    </x:font>
    <x:font>
      <x:b/>
      <x:sz val="11"/>
      <x:color rgb="FFFFFFFF"/>
      <x:name val="Arial"/>
    </x:font>
    <x:font>
      <x:sz val="11"/>
      <x:color rgb="FF182230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53243"/>
      </x:patternFill>
    </x:fill>
    <x:fill>
      <x:patternFill patternType="solid">
        <x:fgColor rgb="FFEEF4F7"/>
      </x:patternFill>
    </x:fill>
    <x:fill>
      <x:patternFill patternType="solid">
        <x:fgColor rgb="FF375A7F"/>
      </x:patternFill>
    </x:fill>
    <x:fill>
      <x:patternFill patternType="solid">
        <x:fgColor rgb="FFF5F7FA"/>
      </x:patternFill>
    </x:fill>
    <x:fill>
      <x:patternFill patternType="solid">
        <x:fgColor rgb="FFFFF1C2"/>
      </x:patternFill>
    </x:fill>
    <x:fill>
      <x:patternFill patternType="solid">
        <x:fgColor rgb="FF334155"/>
      </x:patternFill>
    </x:fill>
    <x:fill>
      <x:patternFill patternType="solid">
        <x:fgColor rgb="FF0F766E"/>
      </x:patternFill>
    </x:fill>
    <x:fill>
      <x:patternFill patternType="solid">
        <x:fgColor rgb="FF4B5563"/>
      </x:patternFill>
    </x:fill>
    <x:fill>
      <x:patternFill patternType="solid">
        <x:fgColor rgb="FF6B7280"/>
      </x:patternFill>
    </x:fill>
    <x:fill>
      <x:patternFill patternType="solid">
        <x:fgColor rgb="FFE7F0FF"/>
      </x:patternFill>
    </x:fill>
    <x:fill>
      <x:patternFill patternType="solid">
        <x:fgColor rgb="FFFFFFFF"/>
      </x:patternFill>
    </x:fill>
    <x:fill>
      <x:patternFill patternType="solid">
        <x:fgColor rgb="FF475569"/>
      </x:patternFill>
    </x:fill>
  </x:fills>
  <x:borders count="33">
    <x:border/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right style="thin">
        <x:color rgb="FFE7ECF2"/>
      </x:right>
      <x:top style="thin">
        <x:color rgb="FFD7DEE8"/>
      </x:top>
      <x:bottom style="thin">
        <x:color rgb="FFE7ECF2"/>
      </x:bottom>
    </x:border>
    <x:border>
      <x:left style="thin">
        <x:color rgb="FFE7ECF2"/>
      </x:left>
      <x:right style="thin">
        <x:color rgb="FFE7ECF2"/>
      </x:right>
      <x:top style="thin">
        <x:color rgb="FFD7DEE8"/>
      </x:top>
      <x:bottom style="thin">
        <x:color rgb="FFE7ECF2"/>
      </x:bottom>
    </x:border>
    <x:border>
      <x:left style="thin">
        <x:color rgb="FFE7ECF2"/>
      </x:left>
      <x:top style="thin">
        <x:color rgb="FFD7DEE8"/>
      </x:top>
      <x:bottom style="thin">
        <x:color rgb="FFE7ECF2"/>
      </x:bottom>
    </x:border>
    <x:border>
      <x:right style="thin">
        <x:color rgb="FFE7ECF2"/>
      </x:right>
      <x:top style="thin">
        <x:color rgb="FFE7ECF2"/>
      </x:top>
      <x:bottom style="thin">
        <x:color rgb="FFE7ECF2"/>
      </x:bottom>
    </x:border>
    <x:border>
      <x:left style="thin">
        <x:color rgb="FFE7ECF2"/>
      </x:left>
      <x:right style="thin">
        <x:color rgb="FFE7ECF2"/>
      </x:right>
      <x:top style="thin">
        <x:color rgb="FFE7ECF2"/>
      </x:top>
      <x:bottom style="thin">
        <x:color rgb="FFE7ECF2"/>
      </x:bottom>
    </x:border>
    <x:border>
      <x:left style="thin">
        <x:color rgb="FFE7ECF2"/>
      </x:left>
      <x:top style="thin">
        <x:color rgb="FFE7ECF2"/>
      </x:top>
      <x:bottom style="thin">
        <x:color rgb="FFE7ECF2"/>
      </x:bottom>
    </x:border>
    <x:border>
      <x:right style="thin">
        <x:color rgb="FFE7ECF2"/>
      </x:right>
      <x:top style="thin">
        <x:color rgb="FFE7ECF2"/>
      </x:top>
      <x:bottom style="thin">
        <x:color rgb="FFD7DEE8"/>
      </x:bottom>
    </x:border>
    <x:border>
      <x:left style="thin">
        <x:color rgb="FFE7ECF2"/>
      </x:left>
      <x:right style="thin">
        <x:color rgb="FFE7ECF2"/>
      </x:right>
      <x:top style="thin">
        <x:color rgb="FFE7ECF2"/>
      </x:top>
      <x:bottom style="thin">
        <x:color rgb="FFD7DEE8"/>
      </x:bottom>
    </x:border>
    <x:border>
      <x:left style="thin">
        <x:color rgb="FFE7ECF2"/>
      </x:left>
      <x:top style="thin">
        <x:color rgb="FFE7ECF2"/>
      </x:top>
      <x:bottom style="thin">
        <x:color rgb="FFD7DEE8"/>
      </x:bottom>
    </x:border>
    <x:border>
      <x:right style="thin">
        <x:color rgb="FFEEF3F8"/>
      </x:right>
      <x:bottom style="thin">
        <x:color rgb="FFE8EEF5"/>
      </x:bottom>
    </x:border>
    <x:border>
      <x:left style="thin">
        <x:color rgb="FFEEF3F8"/>
      </x:left>
      <x:right style="thin">
        <x:color rgb="FFEEF3F8"/>
      </x:right>
      <x:bottom style="thin">
        <x:color rgb="FFE8EEF5"/>
      </x:bottom>
    </x:border>
    <x:border>
      <x:left style="thin">
        <x:color rgb="FFEEF3F8"/>
      </x:left>
      <x:bottom style="thin">
        <x:color rgb="FFE8EEF5"/>
      </x:bottom>
    </x:border>
    <x:border>
      <x:right style="thin">
        <x:color rgb="FFEEF3F8"/>
      </x:right>
      <x:top style="thin">
        <x:color rgb="FFE8EEF5"/>
      </x:top>
      <x:bottom style="thin">
        <x:color rgb="FFE8EEF5"/>
      </x:bottom>
    </x:border>
    <x:border>
      <x:left style="thin">
        <x:color rgb="FFEEF3F8"/>
      </x:left>
      <x:right style="thin">
        <x:color rgb="FFEEF3F8"/>
      </x:right>
      <x:top style="thin">
        <x:color rgb="FFE8EEF5"/>
      </x:top>
      <x:bottom style="thin">
        <x:color rgb="FFE8EEF5"/>
      </x:bottom>
    </x:border>
    <x:border>
      <x:left style="thin">
        <x:color rgb="FFEEF3F8"/>
      </x:left>
      <x:top style="thin">
        <x:color rgb="FFE8EEF5"/>
      </x:top>
      <x:bottom style="thin">
        <x:color rgb="FFE8EEF5"/>
      </x:bottom>
    </x:border>
    <x:border>
      <x:right style="thin">
        <x:color rgb="FFEEF3F8"/>
      </x:right>
      <x:top style="thin">
        <x:color rgb="FFE8EEF5"/>
      </x:top>
    </x:border>
    <x:border>
      <x:left style="thin">
        <x:color rgb="FFEEF3F8"/>
      </x:left>
      <x:right style="thin">
        <x:color rgb="FFEEF3F8"/>
      </x:right>
      <x:top style="thin">
        <x:color rgb="FFE8EEF5"/>
      </x:top>
    </x:border>
    <x:border>
      <x:left style="thin">
        <x:color rgb="FFEEF3F8"/>
      </x:left>
      <x:top style="thin">
        <x:color rgb="FFE8EEF5"/>
      </x:top>
    </x:border>
    <x:border>
      <x:left style="thin">
        <x:color rgb="FFD7DEE8"/>
      </x:left>
      <x:top style="thin">
        <x:color rgb="FFD7DEE8"/>
      </x:top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</x:border>
    <x:border>
      <x:right style="thin">
        <x:color rgb="FFD7DEE8"/>
      </x:right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bottom style="thin">
        <x:color rgb="FFD7DEE8"/>
      </x:bottom>
    </x:border>
    <x:border>
      <x:right style="thin">
        <x:color rgb="FFEEF3F8"/>
      </x:right>
      <x:top style="thin">
        <x:color rgb="FFE8EEF5"/>
      </x:top>
      <x:bottom style="thin">
        <x:color rgb="FFD7DEE8"/>
      </x:bottom>
    </x:border>
    <x:border>
      <x:left style="thin">
        <x:color rgb="FFEEF3F8"/>
      </x:left>
      <x:right style="thin">
        <x:color rgb="FFEEF3F8"/>
      </x:right>
      <x:top style="thin">
        <x:color rgb="FFE8EEF5"/>
      </x:top>
      <x:bottom style="thin">
        <x:color rgb="FFD7DEE8"/>
      </x:bottom>
    </x:border>
    <x:border>
      <x:left style="thin">
        <x:color rgb="FFEEF3F8"/>
      </x:left>
      <x:top style="thin">
        <x:color rgb="FFE8EEF5"/>
      </x:top>
      <x:bottom style="thin">
        <x:color rgb="FFD7DEE8"/>
      </x:bottom>
    </x:border>
    <x:border>
      <x:top style="thin">
        <x:color rgb="FFD7DEE8"/>
      </x:top>
    </x:border>
    <x:border>
      <x:bottom style="thin">
        <x:color rgb="FFD7DEE8"/>
      </x:bottom>
    </x:border>
  </x:borders>
  <x:cellStyleXfs count="1">
    <x:xf numFmtId="0" fontId="0" fillId="0" borderId="0"/>
  </x:cellStyleXfs>
  <x:cellXfs count="3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</x:xf>
    <x:xf numFmtId="200" fontId="0" fillId="5" borderId="5" xfId="0" applyNumberFormat="1" applyFont="1" applyFill="1" applyBorder="1" applyAlignment="1">
      <x:alignment vertical="center"/>
    </x:xf>
    <x:xf numFmtId="200" fontId="0" fillId="5" borderId="8" xfId="0" applyNumberFormat="1" applyFont="1" applyFill="1" applyBorder="1" applyAlignment="1">
      <x:alignment vertical="center"/>
    </x:xf>
    <x:xf numFmtId="200" fontId="0" fillId="5" borderId="11" xfId="0" applyNumberFormat="1" applyFont="1" applyFill="1" applyBorder="1" applyAlignment="1">
      <x:alignment vertical="center"/>
    </x:xf>
    <x:xf numFmtId="201" fontId="0" fillId="5" borderId="5" xfId="0" applyNumberFormat="1" applyFont="1" applyFill="1" applyBorder="1" applyAlignment="1">
      <x:alignment vertical="center"/>
    </x:xf>
    <x:xf numFmtId="201" fontId="0" fillId="5" borderId="8" xfId="0" applyNumberFormat="1" applyFont="1" applyFill="1" applyBorder="1" applyAlignment="1">
      <x:alignment vertical="center"/>
    </x:xf>
    <x:xf numFmtId="201" fontId="0" fillId="5" borderId="1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2" xfId="0" applyNumberFormat="1" applyFont="1" applyFill="1" applyBorder="1" applyAlignment="1">
      <x:alignment horizontal="center" wrapText="1"/>
    </x:xf>
    <x:xf numFmtId="0" fontId="3" fillId="7" borderId="3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2" xfId="0" applyNumberFormat="1" applyFont="1" applyFill="1" applyBorder="1" applyAlignment="1">
      <x:alignment horizontal="center" wrapText="1"/>
    </x:xf>
    <x:xf numFmtId="0" fontId="3" fillId="8" borderId="3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203" fontId="0" fillId="0" borderId="14" xfId="0" applyNumberFormat="1" applyFont="1" applyFill="1" applyBorder="1" applyAlignment="1">
      <x:alignment vertical="center"/>
    </x:xf>
    <x:xf numFmtId="203" fontId="0" fillId="0" borderId="17" xfId="0" applyNumberFormat="1" applyFont="1" applyFill="1" applyBorder="1" applyAlignment="1">
      <x:alignment vertical="center"/>
    </x:xf>
    <x:xf numFmtId="203" fontId="0" fillId="0" borderId="2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20" xfId="0" applyNumberFormat="1" applyFont="1" applyFill="1" applyBorder="1" applyAlignment="1">
      <x:alignment vertical="center"/>
    </x:xf>
    <x:xf numFmtId="205" fontId="0" fillId="0" borderId="14" xfId="0" applyNumberFormat="1" applyFont="1" applyFill="1" applyBorder="1" applyAlignment="1">
      <x:alignment vertical="center"/>
    </x:xf>
    <x:xf numFmtId="205" fontId="0" fillId="0" borderId="17" xfId="0" applyNumberFormat="1" applyFont="1" applyFill="1" applyBorder="1" applyAlignment="1">
      <x:alignment vertical="center"/>
    </x:xf>
    <x:xf numFmtId="205" fontId="0" fillId="0" borderId="20" xfId="0" applyNumberFormat="1" applyFont="1" applyFill="1" applyBorder="1" applyAlignment="1">
      <x:alignment vertical="center"/>
    </x:xf>
    <x:xf numFmtId="206" fontId="0" fillId="0" borderId="14" xfId="0" applyNumberFormat="1" applyFont="1" applyFill="1" applyBorder="1" applyAlignment="1">
      <x:alignment vertical="center"/>
    </x:xf>
    <x:xf numFmtId="206" fontId="0" fillId="0" borderId="17" xfId="0" applyNumberFormat="1" applyFont="1" applyFill="1" applyBorder="1" applyAlignment="1">
      <x:alignment vertical="center"/>
    </x:xf>
    <x:xf numFmtId="206" fontId="0" fillId="0" borderId="2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2" xfId="0" applyNumberFormat="1" applyFont="1" applyFill="1" applyBorder="1"/>
    <x:xf numFmtId="0" fontId="3" fillId="9" borderId="3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wrapText="1"/>
    </x:xf>
    <x:xf numFmtId="0" fontId="3" fillId="9" borderId="3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2" xfId="0" applyNumberFormat="1" applyFont="1" applyFill="1" applyBorder="1" applyAlignment="1">
      <x:alignment horizontal="center" wrapText="1"/>
    </x:xf>
    <x:xf numFmtId="0" fontId="3" fillId="9" borderId="3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3" xfId="0" applyNumberFormat="1" applyFont="1" applyFill="1" applyBorder="1" applyAlignment="1">
      <x:alignment horizontal="center" vertical="center" wrapText="1"/>
    </x:xf>
    <x:xf numFmtId="206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3" fillId="10" borderId="2" xfId="0" applyNumberFormat="1" applyFont="1" applyFill="1" applyBorder="1"/>
    <x:xf numFmtId="0" fontId="3" fillId="10" borderId="3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wrapText="1"/>
    </x:xf>
    <x:xf numFmtId="0" fontId="3" fillId="10" borderId="3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10" borderId="2" xfId="0" applyNumberFormat="1" applyFont="1" applyFill="1" applyBorder="1" applyAlignment="1">
      <x:alignment horizontal="center" wrapText="1"/>
    </x:xf>
    <x:xf numFmtId="0" fontId="3" fillId="10" borderId="3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3" fillId="10" borderId="3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0" fillId="11" borderId="22" xfId="0" applyNumberFormat="1" applyFont="1" applyFill="1" applyBorder="1"/>
    <x:xf numFmtId="0" fontId="0" fillId="11" borderId="23" xfId="0" applyNumberFormat="1" applyFont="1" applyFill="1" applyBorder="1"/>
    <x:xf numFmtId="0" fontId="0" fillId="11" borderId="24" xfId="0" applyNumberFormat="1" applyFont="1" applyFill="1" applyBorder="1"/>
    <x:xf numFmtId="0" fontId="0" fillId="11" borderId="25" xfId="0" applyNumberFormat="1" applyFont="1" applyFill="1" applyBorder="1"/>
    <x:xf numFmtId="0" fontId="0" fillId="11" borderId="26" xfId="0" applyNumberFormat="1" applyFont="1" applyFill="1" applyBorder="1"/>
    <x:xf numFmtId="0" fontId="0" fillId="11" borderId="27" xfId="0" applyNumberFormat="1" applyFont="1" applyFill="1" applyBorder="1"/>
    <x:xf numFmtId="0" fontId="0" fillId="11" borderId="22" xfId="0" applyNumberFormat="1" applyFont="1" applyFill="1" applyBorder="1" applyAlignment="1">
      <x:alignment vertical="center"/>
    </x:xf>
    <x:xf numFmtId="0" fontId="0" fillId="11" borderId="23" xfId="0" applyNumberFormat="1" applyFont="1" applyFill="1" applyBorder="1" applyAlignment="1">
      <x:alignment vertical="center"/>
    </x:xf>
    <x:xf numFmtId="0" fontId="0" fillId="11" borderId="24" xfId="0" applyNumberFormat="1" applyFont="1" applyFill="1" applyBorder="1" applyAlignment="1">
      <x:alignment vertical="center"/>
    </x:xf>
    <x:xf numFmtId="0" fontId="0" fillId="11" borderId="25" xfId="0" applyNumberFormat="1" applyFont="1" applyFill="1" applyBorder="1" applyAlignment="1">
      <x:alignment vertical="center"/>
    </x:xf>
    <x:xf numFmtId="0" fontId="0" fillId="11" borderId="26" xfId="0" applyNumberFormat="1" applyFont="1" applyFill="1" applyBorder="1" applyAlignment="1">
      <x:alignment vertical="center"/>
    </x:xf>
    <x:xf numFmtId="0" fontId="0" fillId="11" borderId="27" xfId="0" applyNumberFormat="1" applyFont="1" applyFill="1" applyBorder="1" applyAlignment="1">
      <x:alignment vertical="center"/>
    </x:xf>
    <x:xf numFmtId="0" fontId="5" fillId="11" borderId="22" xfId="0" applyNumberFormat="1" applyFont="1" applyFill="1" applyBorder="1" applyAlignment="1">
      <x:alignment vertical="center"/>
    </x:xf>
    <x:xf numFmtId="0" fontId="5" fillId="11" borderId="24" xfId="0" applyNumberFormat="1" applyFont="1" applyFill="1" applyBorder="1" applyAlignment="1">
      <x:alignment vertical="center"/>
    </x:xf>
    <x:xf numFmtId="0" fontId="5" fillId="11" borderId="26" xfId="0" applyNumberFormat="1" applyFont="1" applyFill="1" applyBorder="1" applyAlignment="1">
      <x:alignment vertical="center"/>
    </x:xf>
    <x:xf numFmtId="0" fontId="6" fillId="11" borderId="23" xfId="0" applyNumberFormat="1" applyFont="1" applyFill="1" applyBorder="1" applyAlignment="1">
      <x:alignment vertical="center"/>
    </x:xf>
    <x:xf numFmtId="0" fontId="6" fillId="11" borderId="25" xfId="0" applyNumberFormat="1" applyFont="1" applyFill="1" applyBorder="1" applyAlignment="1">
      <x:alignment vertical="center"/>
    </x:xf>
    <x:xf numFmtId="0" fontId="6" fillId="11" borderId="27" xfId="0" applyNumberFormat="1" applyFont="1" applyFill="1" applyBorder="1" applyAlignment="1">
      <x:alignment vertical="center"/>
    </x:xf>
    <x:xf numFmtId="203" fontId="6" fillId="11" borderId="23" xfId="0" applyNumberFormat="1" applyFont="1" applyFill="1" applyBorder="1" applyAlignment="1">
      <x:alignment vertical="center"/>
    </x:xf>
    <x:xf numFmtId="203" fontId="6" fillId="11" borderId="25" xfId="0" applyNumberFormat="1" applyFont="1" applyFill="1" applyBorder="1" applyAlignment="1">
      <x:alignment vertical="center"/>
    </x:xf>
    <x:xf numFmtId="201" fontId="6" fillId="11" borderId="25" xfId="0" applyNumberFormat="1" applyFont="1" applyFill="1" applyBorder="1" applyAlignment="1">
      <x:alignment vertical="center"/>
    </x:xf>
    <x:xf numFmtId="203" fontId="6" fillId="11" borderId="27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0" fillId="12" borderId="13" xfId="0" applyNumberFormat="1" applyFont="1" applyFill="1" applyBorder="1"/>
    <x:xf numFmtId="0" fontId="0" fillId="12" borderId="14" xfId="0" applyNumberFormat="1" applyFont="1" applyFill="1" applyBorder="1"/>
    <x:xf numFmtId="0" fontId="0" fillId="12" borderId="15" xfId="0" applyNumberFormat="1" applyFont="1" applyFill="1" applyBorder="1"/>
    <x:xf numFmtId="0" fontId="0" fillId="12" borderId="16" xfId="0" applyNumberFormat="1" applyFont="1" applyFill="1" applyBorder="1"/>
    <x:xf numFmtId="0" fontId="0" fillId="12" borderId="17" xfId="0" applyNumberFormat="1" applyFont="1" applyFill="1" applyBorder="1"/>
    <x:xf numFmtId="0" fontId="0" fillId="12" borderId="18" xfId="0" applyNumberFormat="1" applyFont="1" applyFill="1" applyBorder="1"/>
    <x:xf numFmtId="0" fontId="0" fillId="12" borderId="28" xfId="0" applyNumberFormat="1" applyFont="1" applyFill="1" applyBorder="1"/>
    <x:xf numFmtId="0" fontId="0" fillId="12" borderId="29" xfId="0" applyNumberFormat="1" applyFont="1" applyFill="1" applyBorder="1"/>
    <x:xf numFmtId="0" fontId="0" fillId="12" borderId="30" xfId="0" applyNumberFormat="1" applyFont="1" applyFill="1" applyBorder="1"/>
    <x:xf numFmtId="203" fontId="0" fillId="12" borderId="14" xfId="0" applyNumberFormat="1" applyFont="1" applyFill="1" applyBorder="1"/>
    <x:xf numFmtId="203" fontId="0" fillId="12" borderId="17" xfId="0" applyNumberFormat="1" applyFont="1" applyFill="1" applyBorder="1"/>
    <x:xf numFmtId="203" fontId="0" fillId="12" borderId="29" xfId="0" applyNumberFormat="1" applyFont="1" applyFill="1" applyBorder="1"/>
    <x:xf numFmtId="201" fontId="0" fillId="12" borderId="14" xfId="0" applyNumberFormat="1" applyFont="1" applyFill="1" applyBorder="1"/>
    <x:xf numFmtId="201" fontId="0" fillId="12" borderId="17" xfId="0" applyNumberFormat="1" applyFont="1" applyFill="1" applyBorder="1"/>
    <x:xf numFmtId="201" fontId="0" fillId="12" borderId="29" xfId="0" applyNumberFormat="1" applyFont="1" applyFill="1" applyBorder="1"/>
    <x:xf numFmtId="0" fontId="0" fillId="12" borderId="22" xfId="0" applyNumberFormat="1" applyFont="1" applyFill="1" applyBorder="1"/>
    <x:xf numFmtId="0" fontId="0" fillId="12" borderId="31" xfId="0" applyNumberFormat="1" applyFont="1" applyFill="1" applyBorder="1"/>
    <x:xf numFmtId="0" fontId="0" fillId="12" borderId="23" xfId="0" applyNumberFormat="1" applyFont="1" applyFill="1" applyBorder="1"/>
    <x:xf numFmtId="0" fontId="0" fillId="12" borderId="24" xfId="0" applyNumberFormat="1" applyFont="1" applyFill="1" applyBorder="1"/>
    <x:xf numFmtId="0" fontId="0" fillId="12" borderId="25" xfId="0" applyNumberFormat="1" applyFont="1" applyFill="1" applyBorder="1"/>
    <x:xf numFmtId="0" fontId="0" fillId="12" borderId="26" xfId="0" applyNumberFormat="1" applyFont="1" applyFill="1" applyBorder="1"/>
    <x:xf numFmtId="0" fontId="0" fillId="12" borderId="32" xfId="0" applyNumberFormat="1" applyFont="1" applyFill="1" applyBorder="1"/>
    <x:xf numFmtId="0" fontId="0" fillId="12" borderId="27" xfId="0" applyNumberFormat="1" applyFont="1" applyFill="1" applyBorder="1"/>
    <x:xf numFmtId="203" fontId="0" fillId="12" borderId="31" xfId="0" applyNumberFormat="1" applyFont="1" applyFill="1" applyBorder="1"/>
    <x:xf numFmtId="203" fontId="0" fillId="12" borderId="23" xfId="0" applyNumberFormat="1" applyFont="1" applyFill="1" applyBorder="1"/>
    <x:xf numFmtId="203" fontId="0" fillId="12" borderId="0" xfId="0" applyNumberFormat="1" applyFont="1" applyFill="1" applyBorder="1"/>
    <x:xf numFmtId="203" fontId="0" fillId="12" borderId="25" xfId="0" applyNumberFormat="1" applyFont="1" applyFill="1" applyBorder="1"/>
    <x:xf numFmtId="203" fontId="0" fillId="12" borderId="32" xfId="0" applyNumberFormat="1" applyFont="1" applyFill="1" applyBorder="1"/>
    <x:xf numFmtId="203" fontId="0" fillId="12" borderId="27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1" xfId="0" applyNumberFormat="1" applyFont="1" applyFill="1" applyBorder="1"/>
    <x:xf numFmtId="0" fontId="3" fillId="13" borderId="2" xfId="0" applyNumberFormat="1" applyFont="1" applyFill="1" applyBorder="1"/>
    <x:xf numFmtId="0" fontId="3" fillId="13" borderId="3" xfId="0" applyNumberFormat="1" applyFont="1" applyFill="1" applyBorder="1"/>
    <x:xf numFmtId="0" fontId="3" fillId="13" borderId="1" xfId="0" applyNumberFormat="1" applyFont="1" applyFill="1" applyBorder="1" applyAlignment="1">
      <x:alignment wrapText="1"/>
    </x:xf>
    <x:xf numFmtId="0" fontId="3" fillId="13" borderId="2" xfId="0" applyNumberFormat="1" applyFont="1" applyFill="1" applyBorder="1" applyAlignment="1">
      <x:alignment wrapText="1"/>
    </x:xf>
    <x:xf numFmtId="0" fontId="3" fillId="13" borderId="3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horizontal="center" wrapText="1"/>
    </x:xf>
    <x:xf numFmtId="0" fontId="3" fillId="13" borderId="2" xfId="0" applyNumberFormat="1" applyFont="1" applyFill="1" applyBorder="1" applyAlignment="1">
      <x:alignment horizontal="center" wrapText="1"/>
    </x:xf>
    <x:xf numFmtId="0" fontId="3" fillId="13" borderId="3" xfId="0" applyNumberFormat="1" applyFont="1" applyFill="1" applyBorder="1" applyAlignment="1">
      <x:alignment horizontal="center" wrapText="1"/>
    </x:xf>
    <x:xf numFmtId="0" fontId="3" fillId="13" borderId="1" xfId="0" applyNumberFormat="1" applyFont="1" applyFill="1" applyBorder="1" applyAlignment="1">
      <x:alignment horizontal="center" vertical="center" wrapText="1"/>
    </x:xf>
    <x:xf numFmtId="0" fontId="3" fillId="13" borderId="2" xfId="0" applyNumberFormat="1" applyFont="1" applyFill="1" applyBorder="1" applyAlignment="1">
      <x:alignment horizontal="center" vertical="center" wrapText="1"/>
    </x:xf>
    <x:xf numFmtId="0" fontId="3" fillId="13" borderId="3" xfId="0" applyNumberFormat="1" applyFont="1" applyFill="1" applyBorder="1" applyAlignment="1">
      <x:alignment horizontal="center" vertical="center" wrapText="1"/>
    </x:xf>
    <x:xf numFmtId="0" fontId="0" fillId="12" borderId="19" xfId="0" applyNumberFormat="1" applyFont="1" applyFill="1" applyBorder="1"/>
    <x:xf numFmtId="0" fontId="0" fillId="12" borderId="20" xfId="0" applyNumberFormat="1" applyFont="1" applyFill="1" applyBorder="1"/>
    <x:xf numFmtId="0" fontId="0" fillId="12" borderId="21" xfId="0" applyNumberFormat="1" applyFont="1" applyFill="1" applyBorder="1"/>
    <x:xf numFmtId="0" fontId="0" fillId="12" borderId="13" xfId="0" applyNumberFormat="1" applyFont="1" applyFill="1" applyBorder="1" applyAlignment="1">
      <x:alignment wrapText="1"/>
    </x:xf>
    <x:xf numFmtId="0" fontId="0" fillId="12" borderId="14" xfId="0" applyNumberFormat="1" applyFont="1" applyFill="1" applyBorder="1" applyAlignment="1">
      <x:alignment wrapText="1"/>
    </x:xf>
    <x:xf numFmtId="0" fontId="0" fillId="12" borderId="15" xfId="0" applyNumberFormat="1" applyFont="1" applyFill="1" applyBorder="1" applyAlignment="1">
      <x:alignment wrapText="1"/>
    </x:xf>
    <x:xf numFmtId="0" fontId="0" fillId="12" borderId="16" xfId="0" applyNumberFormat="1" applyFont="1" applyFill="1" applyBorder="1" applyAlignment="1">
      <x:alignment wrapText="1"/>
    </x:xf>
    <x:xf numFmtId="0" fontId="0" fillId="12" borderId="17" xfId="0" applyNumberFormat="1" applyFont="1" applyFill="1" applyBorder="1" applyAlignment="1">
      <x:alignment wrapText="1"/>
    </x:xf>
    <x:xf numFmtId="0" fontId="0" fillId="12" borderId="18" xfId="0" applyNumberFormat="1" applyFont="1" applyFill="1" applyBorder="1" applyAlignment="1">
      <x:alignment wrapText="1"/>
    </x:xf>
    <x:xf numFmtId="0" fontId="0" fillId="12" borderId="19" xfId="0" applyNumberFormat="1" applyFont="1" applyFill="1" applyBorder="1" applyAlignment="1">
      <x:alignment wrapText="1"/>
    </x:xf>
    <x:xf numFmtId="0" fontId="0" fillId="12" borderId="20" xfId="0" applyNumberFormat="1" applyFont="1" applyFill="1" applyBorder="1" applyAlignment="1">
      <x:alignment wrapText="1"/>
    </x:xf>
    <x:xf numFmtId="0" fontId="0" fillId="12" borderId="2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11" borderId="22" xfId="0" applyNumberFormat="1" applyFont="1" applyFill="1" applyBorder="1" applyAlignment="1">
      <x:alignment vertical="center"/>
    </x:xf>
    <x:xf numFmtId="203" fontId="11" fillId="11" borderId="23" xfId="0" applyNumberFormat="1" applyFont="1" applyFill="1" applyBorder="1" applyAlignment="1">
      <x:alignment vertical="center"/>
    </x:xf>
    <x:xf numFmtId="0" fontId="12" fillId="8" borderId="1" xfId="0" applyNumberFormat="1" applyFont="1" applyFill="1" applyBorder="1" applyAlignment="1">
      <x:alignment horizontal="center" vertical="center" wrapText="1"/>
    </x:xf>
    <x:xf numFmtId="0" fontId="12" fillId="8" borderId="2" xfId="0" applyNumberFormat="1" applyFont="1" applyFill="1" applyBorder="1" applyAlignment="1">
      <x:alignment horizontal="center" vertical="center" wrapText="1"/>
    </x:xf>
    <x:xf numFmtId="0" fontId="12" fillId="8" borderId="3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0" fontId="12" fillId="4" borderId="2" xfId="0" applyNumberFormat="1" applyFont="1" applyFill="1" applyBorder="1" applyAlignment="1">
      <x:alignment horizontal="center" vertical="center" wrapText="1"/>
    </x:xf>
    <x:xf numFmtId="0" fontId="12" fillId="4" borderId="3" xfId="0" applyNumberFormat="1" applyFont="1" applyFill="1" applyBorder="1" applyAlignment="1">
      <x:alignment horizontal="center" vertical="center" wrapText="1"/>
    </x:xf>
    <x:xf numFmtId="0" fontId="10" fillId="11" borderId="24" xfId="0" applyNumberFormat="1" applyFont="1" applyFill="1" applyBorder="1" applyAlignment="1">
      <x:alignment vertical="center"/>
    </x:xf>
    <x:xf numFmtId="203" fontId="11" fillId="11" borderId="25" xfId="0" applyNumberFormat="1" applyFont="1" applyFill="1" applyBorder="1" applyAlignment="1">
      <x:alignment vertical="center"/>
    </x:xf>
    <x:xf numFmtId="0" fontId="9" fillId="12" borderId="13" xfId="0" applyNumberFormat="1" applyFont="1" applyFill="1" applyBorder="1"/>
    <x:xf numFmtId="0" fontId="9" fillId="12" borderId="14" xfId="0" applyNumberFormat="1" applyFont="1" applyFill="1" applyBorder="1"/>
    <x:xf numFmtId="203" fontId="9" fillId="12" borderId="14" xfId="0" applyNumberFormat="1" applyFont="1" applyFill="1" applyBorder="1"/>
    <x:xf numFmtId="201" fontId="9" fillId="12" borderId="14" xfId="0" applyNumberFormat="1" applyFont="1" applyFill="1" applyBorder="1"/>
    <x:xf numFmtId="0" fontId="9" fillId="12" borderId="15" xfId="0" applyNumberFormat="1" applyFont="1" applyFill="1" applyBorder="1"/>
    <x:xf numFmtId="0" fontId="9" fillId="12" borderId="22" xfId="0" applyNumberFormat="1" applyFont="1" applyFill="1" applyBorder="1"/>
    <x:xf numFmtId="203" fontId="9" fillId="12" borderId="31" xfId="0" applyNumberFormat="1" applyFont="1" applyFill="1" applyBorder="1"/>
    <x:xf numFmtId="203" fontId="9" fillId="12" borderId="23" xfId="0" applyNumberFormat="1" applyFont="1" applyFill="1" applyBorder="1"/>
    <x:xf numFmtId="201" fontId="11" fillId="11" borderId="25" xfId="0" applyNumberFormat="1" applyFont="1" applyFill="1" applyBorder="1" applyAlignment="1">
      <x:alignment vertical="center"/>
    </x:xf>
    <x:xf numFmtId="0" fontId="9" fillId="12" borderId="16" xfId="0" applyNumberFormat="1" applyFont="1" applyFill="1" applyBorder="1"/>
    <x:xf numFmtId="0" fontId="9" fillId="12" borderId="17" xfId="0" applyNumberFormat="1" applyFont="1" applyFill="1" applyBorder="1"/>
    <x:xf numFmtId="203" fontId="9" fillId="12" borderId="17" xfId="0" applyNumberFormat="1" applyFont="1" applyFill="1" applyBorder="1"/>
    <x:xf numFmtId="201" fontId="9" fillId="12" borderId="17" xfId="0" applyNumberFormat="1" applyFont="1" applyFill="1" applyBorder="1"/>
    <x:xf numFmtId="0" fontId="9" fillId="12" borderId="18" xfId="0" applyNumberFormat="1" applyFont="1" applyFill="1" applyBorder="1"/>
    <x:xf numFmtId="0" fontId="9" fillId="12" borderId="24" xfId="0" applyNumberFormat="1" applyFont="1" applyFill="1" applyBorder="1"/>
    <x:xf numFmtId="203" fontId="9" fillId="12" borderId="0" xfId="0" applyNumberFormat="1" applyFont="1" applyFill="1" applyBorder="1"/>
    <x:xf numFmtId="203" fontId="9" fillId="12" borderId="25" xfId="0" applyNumberFormat="1" applyFont="1" applyFill="1" applyBorder="1"/>
    <x:xf numFmtId="0" fontId="10" fillId="11" borderId="26" xfId="0" applyNumberFormat="1" applyFont="1" applyFill="1" applyBorder="1" applyAlignment="1">
      <x:alignment vertical="center"/>
    </x:xf>
    <x:xf numFmtId="203" fontId="11" fillId="11" borderId="27" xfId="0" applyNumberFormat="1" applyFont="1" applyFill="1" applyBorder="1" applyAlignment="1">
      <x:alignment vertical="center"/>
    </x:xf>
    <x:xf numFmtId="0" fontId="9" fillId="12" borderId="26" xfId="0" applyNumberFormat="1" applyFont="1" applyFill="1" applyBorder="1"/>
    <x:xf numFmtId="203" fontId="9" fillId="12" borderId="32" xfId="0" applyNumberFormat="1" applyFont="1" applyFill="1" applyBorder="1"/>
    <x:xf numFmtId="203" fontId="9" fillId="12" borderId="27" xfId="0" applyNumberFormat="1" applyFont="1" applyFill="1" applyBorder="1"/>
    <x:xf numFmtId="0" fontId="9" fillId="12" borderId="28" xfId="0" applyNumberFormat="1" applyFont="1" applyFill="1" applyBorder="1"/>
    <x:xf numFmtId="0" fontId="9" fillId="12" borderId="29" xfId="0" applyNumberFormat="1" applyFont="1" applyFill="1" applyBorder="1"/>
    <x:xf numFmtId="203" fontId="9" fillId="12" borderId="29" xfId="0" applyNumberFormat="1" applyFont="1" applyFill="1" applyBorder="1"/>
    <x:xf numFmtId="201" fontId="9" fillId="12" borderId="29" xfId="0" applyNumberFormat="1" applyFont="1" applyFill="1" applyBorder="1"/>
    <x:xf numFmtId="0" fontId="9" fillId="12" borderId="30" xfId="0" applyNumberFormat="1" applyFont="1" applyFill="1" applyBorder="1"/>
    <x:xf numFmtId="0" fontId="9" fillId="0" borderId="13" xfId="0" applyNumberFormat="1" applyFont="1" applyFill="1" applyBorder="1" applyAlignment="1">
      <x:alignment vertical="center"/>
    </x:xf>
    <x:xf numFmtId="0" fontId="9" fillId="0" borderId="14" xfId="0" applyNumberFormat="1" applyFont="1" applyFill="1" applyBorder="1" applyAlignment="1">
      <x:alignment vertical="center"/>
    </x:xf>
    <x:xf numFmtId="203" fontId="9" fillId="0" borderId="14" xfId="0" applyNumberFormat="1" applyFont="1" applyFill="1" applyBorder="1" applyAlignment="1">
      <x:alignment vertical="center"/>
    </x:xf>
    <x:xf numFmtId="201" fontId="9" fillId="0" borderId="14" xfId="0" applyNumberFormat="1" applyFont="1" applyFill="1" applyBorder="1" applyAlignment="1">
      <x:alignment vertical="center"/>
    </x:xf>
    <x:xf numFmtId="205" fontId="9" fillId="0" borderId="14" xfId="0" applyNumberFormat="1" applyFont="1" applyFill="1" applyBorder="1" applyAlignment="1">
      <x:alignment vertical="center"/>
    </x:xf>
    <x:xf numFmtId="206" fontId="9" fillId="0" borderId="14" xfId="0" applyNumberFormat="1" applyFont="1" applyFill="1" applyBorder="1" applyAlignment="1">
      <x:alignment vertical="center"/>
    </x:xf>
    <x:xf numFmtId="0" fontId="9" fillId="0" borderId="15" xfId="0" applyNumberFormat="1" applyFont="1" applyFill="1" applyBorder="1" applyAlignment="1">
      <x:alignment vertical="center"/>
    </x:xf>
    <x:xf numFmtId="0" fontId="9" fillId="0" borderId="16" xfId="0" applyNumberFormat="1" applyFont="1" applyFill="1" applyBorder="1" applyAlignment="1">
      <x:alignment vertical="center"/>
    </x:xf>
    <x:xf numFmtId="0" fontId="9" fillId="0" borderId="17" xfId="0" applyNumberFormat="1" applyFont="1" applyFill="1" applyBorder="1" applyAlignment="1">
      <x:alignment vertical="center"/>
    </x:xf>
    <x:xf numFmtId="203" fontId="9" fillId="0" borderId="17" xfId="0" applyNumberFormat="1" applyFont="1" applyFill="1" applyBorder="1" applyAlignment="1">
      <x:alignment vertical="center"/>
    </x:xf>
    <x:xf numFmtId="201" fontId="9" fillId="0" borderId="17" xfId="0" applyNumberFormat="1" applyFont="1" applyFill="1" applyBorder="1" applyAlignment="1">
      <x:alignment vertical="center"/>
    </x:xf>
    <x:xf numFmtId="205" fontId="9" fillId="0" borderId="17" xfId="0" applyNumberFormat="1" applyFont="1" applyFill="1" applyBorder="1" applyAlignment="1">
      <x:alignment vertical="center"/>
    </x:xf>
    <x:xf numFmtId="206" fontId="9" fillId="0" borderId="17" xfId="0" applyNumberFormat="1" applyFont="1" applyFill="1" applyBorder="1" applyAlignment="1">
      <x:alignment vertical="center"/>
    </x:xf>
    <x:xf numFmtId="0" fontId="9" fillId="0" borderId="18" xfId="0" applyNumberFormat="1" applyFont="1" applyFill="1" applyBorder="1" applyAlignment="1">
      <x:alignment vertical="center"/>
    </x:xf>
    <x:xf numFmtId="0" fontId="9" fillId="0" borderId="19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vertical="center"/>
    </x:xf>
    <x:xf numFmtId="203" fontId="9" fillId="0" borderId="20" xfId="0" applyNumberFormat="1" applyFont="1" applyFill="1" applyBorder="1" applyAlignment="1">
      <x:alignment vertical="center"/>
    </x:xf>
    <x:xf numFmtId="201" fontId="9" fillId="0" borderId="20" xfId="0" applyNumberFormat="1" applyFont="1" applyFill="1" applyBorder="1" applyAlignment="1">
      <x:alignment vertical="center"/>
    </x:xf>
    <x:xf numFmtId="205" fontId="9" fillId="0" borderId="20" xfId="0" applyNumberFormat="1" applyFont="1" applyFill="1" applyBorder="1" applyAlignment="1">
      <x:alignment vertical="center"/>
    </x:xf>
    <x:xf numFmtId="206" fontId="9" fillId="0" borderId="20" xfId="0" applyNumberFormat="1" applyFont="1" applyFill="1" applyBorder="1" applyAlignment="1">
      <x:alignment vertical="center"/>
    </x:xf>
    <x:xf numFmtId="0" fontId="9" fillId="0" borderId="21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/>
    <x:xf numFmtId="204" fontId="9" fillId="0" borderId="0" xfId="0" applyNumberFormat="1" applyFont="1" applyFill="1" applyBorder="1"/>
    <x:xf numFmtId="0" fontId="12" fillId="7" borderId="1" xfId="0" applyNumberFormat="1" applyFont="1" applyFill="1" applyBorder="1" applyAlignment="1">
      <x:alignment horizontal="center" vertical="center" wrapText="1"/>
    </x:xf>
    <x:xf numFmtId="0" fontId="12" fillId="7" borderId="2" xfId="0" applyNumberFormat="1" applyFont="1" applyFill="1" applyBorder="1" applyAlignment="1">
      <x:alignment horizontal="center" vertical="center" wrapText="1"/>
    </x:xf>
    <x:xf numFmtId="0" fontId="12" fillId="7" borderId="3" xfId="0" applyNumberFormat="1" applyFont="1" applyFill="1" applyBorder="1" applyAlignment="1">
      <x:alignment horizontal="center" vertical="center" wrapText="1"/>
    </x:xf>
    <x:xf numFmtId="202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6" borderId="0" xfId="0" applyNumberFormat="1" applyFont="1" applyFill="1" applyBorder="1" applyAlignment="1">
      <x:alignment wrapText="1"/>
    </x:xf>
    <x:xf numFmtId="0" fontId="12" fillId="9" borderId="1" xfId="0" applyNumberFormat="1" applyFont="1" applyFill="1" applyBorder="1" applyAlignment="1">
      <x:alignment horizontal="center" vertical="center" wrapText="1"/>
    </x:xf>
    <x:xf numFmtId="0" fontId="12" fillId="9" borderId="2" xfId="0" applyNumberFormat="1" applyFont="1" applyFill="1" applyBorder="1" applyAlignment="1">
      <x:alignment horizontal="center" vertical="center" wrapText="1"/>
    </x:xf>
    <x:xf numFmtId="0" fontId="12" fillId="9" borderId="3" xfId="0" applyNumberFormat="1" applyFont="1" applyFill="1" applyBorder="1" applyAlignment="1">
      <x:alignment horizontal="center" vertical="center" wrapText="1"/>
    </x:xf>
    <x:xf numFmtId="206" fontId="9" fillId="0" borderId="0" xfId="0" applyNumberFormat="1" applyFont="1" applyFill="1" applyBorder="1"/>
    <x:xf numFmtId="201" fontId="9" fillId="0" borderId="0" xfId="0" applyNumberFormat="1" applyFont="1" applyFill="1" applyBorder="1"/>
    <x:xf numFmtId="0" fontId="9" fillId="5" borderId="4" xfId="0" applyNumberFormat="1" applyFont="1" applyFill="1" applyBorder="1" applyAlignment="1">
      <x:alignment vertical="center"/>
    </x:xf>
    <x:xf numFmtId="0" fontId="9" fillId="5" borderId="5" xfId="0" applyNumberFormat="1" applyFont="1" applyFill="1" applyBorder="1" applyAlignment="1">
      <x:alignment vertical="center"/>
    </x:xf>
    <x:xf numFmtId="200" fontId="9" fillId="5" borderId="5" xfId="0" applyNumberFormat="1" applyFont="1" applyFill="1" applyBorder="1" applyAlignment="1">
      <x:alignment vertical="center"/>
    </x:xf>
    <x:xf numFmtId="201" fontId="9" fillId="5" borderId="5" xfId="0" applyNumberFormat="1" applyFont="1" applyFill="1" applyBorder="1" applyAlignment="1">
      <x:alignment vertical="center"/>
    </x:xf>
    <x:xf numFmtId="0" fontId="9" fillId="5" borderId="6" xfId="0" applyNumberFormat="1" applyFont="1" applyFill="1" applyBorder="1" applyAlignment="1">
      <x:alignment vertical="center"/>
    </x:xf>
    <x:xf numFmtId="0" fontId="9" fillId="5" borderId="7" xfId="0" applyNumberFormat="1" applyFont="1" applyFill="1" applyBorder="1" applyAlignment="1">
      <x:alignment vertical="center"/>
    </x:xf>
    <x:xf numFmtId="0" fontId="9" fillId="5" borderId="8" xfId="0" applyNumberFormat="1" applyFont="1" applyFill="1" applyBorder="1" applyAlignment="1">
      <x:alignment vertical="center"/>
    </x:xf>
    <x:xf numFmtId="200" fontId="9" fillId="5" borderId="8" xfId="0" applyNumberFormat="1" applyFont="1" applyFill="1" applyBorder="1" applyAlignment="1">
      <x:alignment vertical="center"/>
    </x:xf>
    <x:xf numFmtId="201" fontId="9" fillId="5" borderId="8" xfId="0" applyNumberFormat="1" applyFont="1" applyFill="1" applyBorder="1" applyAlignment="1">
      <x:alignment vertical="center"/>
    </x:xf>
    <x:xf numFmtId="0" fontId="9" fillId="5" borderId="9" xfId="0" applyNumberFormat="1" applyFont="1" applyFill="1" applyBorder="1" applyAlignment="1">
      <x:alignment vertical="center"/>
    </x:xf>
    <x:xf numFmtId="0" fontId="9" fillId="5" borderId="10" xfId="0" applyNumberFormat="1" applyFont="1" applyFill="1" applyBorder="1" applyAlignment="1">
      <x:alignment vertical="center"/>
    </x:xf>
    <x:xf numFmtId="0" fontId="9" fillId="5" borderId="11" xfId="0" applyNumberFormat="1" applyFont="1" applyFill="1" applyBorder="1" applyAlignment="1">
      <x:alignment vertical="center"/>
    </x:xf>
    <x:xf numFmtId="200" fontId="9" fillId="5" borderId="11" xfId="0" applyNumberFormat="1" applyFont="1" applyFill="1" applyBorder="1" applyAlignment="1">
      <x:alignment vertical="center"/>
    </x:xf>
    <x:xf numFmtId="201" fontId="9" fillId="5" borderId="11" xfId="0" applyNumberFormat="1" applyFont="1" applyFill="1" applyBorder="1" applyAlignment="1">
      <x:alignment vertical="center"/>
    </x:xf>
    <x:xf numFmtId="0" fontId="9" fillId="5" borderId="12" xfId="0" applyNumberFormat="1" applyFont="1" applyFill="1" applyBorder="1" applyAlignment="1">
      <x:alignment vertical="center"/>
    </x:xf>
    <x:xf numFmtId="0" fontId="12" fillId="10" borderId="1" xfId="0" applyNumberFormat="1" applyFont="1" applyFill="1" applyBorder="1" applyAlignment="1">
      <x:alignment horizontal="center" vertical="center" wrapText="1"/>
    </x:xf>
    <x:xf numFmtId="0" fontId="12" fillId="10" borderId="2" xfId="0" applyNumberFormat="1" applyFont="1" applyFill="1" applyBorder="1" applyAlignment="1">
      <x:alignment horizontal="center" vertical="center" wrapText="1"/>
    </x:xf>
    <x:xf numFmtId="0" fontId="12" fillId="10" borderId="3" xfId="0" applyNumberFormat="1" applyFont="1" applyFill="1" applyBorder="1" applyAlignment="1">
      <x:alignment horizontal="center" vertical="center" wrapText="1"/>
    </x:xf>
    <x:xf numFmtId="0" fontId="12" fillId="13" borderId="1" xfId="0" applyNumberFormat="1" applyFont="1" applyFill="1" applyBorder="1" applyAlignment="1">
      <x:alignment horizontal="center" vertical="center" wrapText="1"/>
    </x:xf>
    <x:xf numFmtId="0" fontId="12" fillId="13" borderId="2" xfId="0" applyNumberFormat="1" applyFont="1" applyFill="1" applyBorder="1" applyAlignment="1">
      <x:alignment horizontal="center" vertical="center" wrapText="1"/>
    </x:xf>
    <x:xf numFmtId="0" fontId="12" fillId="13" borderId="3" xfId="0" applyNumberFormat="1" applyFont="1" applyFill="1" applyBorder="1" applyAlignment="1">
      <x:alignment horizontal="center" vertical="center" wrapText="1"/>
    </x:xf>
    <x:xf numFmtId="0" fontId="9" fillId="12" borderId="13" xfId="0" applyNumberFormat="1" applyFont="1" applyFill="1" applyBorder="1" applyAlignment="1">
      <x:alignment wrapText="1"/>
    </x:xf>
    <x:xf numFmtId="0" fontId="9" fillId="12" borderId="14" xfId="0" applyNumberFormat="1" applyFont="1" applyFill="1" applyBorder="1" applyAlignment="1">
      <x:alignment wrapText="1"/>
    </x:xf>
    <x:xf numFmtId="0" fontId="9" fillId="12" borderId="15" xfId="0" applyNumberFormat="1" applyFont="1" applyFill="1" applyBorder="1" applyAlignment="1">
      <x:alignment wrapText="1"/>
    </x:xf>
    <x:xf numFmtId="0" fontId="9" fillId="12" borderId="16" xfId="0" applyNumberFormat="1" applyFont="1" applyFill="1" applyBorder="1" applyAlignment="1">
      <x:alignment wrapText="1"/>
    </x:xf>
    <x:xf numFmtId="0" fontId="9" fillId="12" borderId="17" xfId="0" applyNumberFormat="1" applyFont="1" applyFill="1" applyBorder="1" applyAlignment="1">
      <x:alignment wrapText="1"/>
    </x:xf>
    <x:xf numFmtId="0" fontId="9" fillId="12" borderId="18" xfId="0" applyNumberFormat="1" applyFont="1" applyFill="1" applyBorder="1" applyAlignment="1">
      <x:alignment wrapText="1"/>
    </x:xf>
    <x:xf numFmtId="0" fontId="9" fillId="12" borderId="19" xfId="0" applyNumberFormat="1" applyFont="1" applyFill="1" applyBorder="1" applyAlignment="1">
      <x:alignment wrapText="1"/>
    </x:xf>
    <x:xf numFmtId="0" fontId="9" fillId="12" borderId="20" xfId="0" applyNumberFormat="1" applyFont="1" applyFill="1" applyBorder="1" applyAlignment="1">
      <x:alignment wrapText="1"/>
    </x:xf>
    <x:xf numFmtId="0" fontId="9" fillId="12" borderId="2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14532D"/>
      </x:font>
      <x:fill>
        <x:patternFill patternType="solid">
          <x:bgColor rgb="FFDCFCE7"/>
        </x:patternFill>
      </x:fill>
    </x:dxf>
    <x:dxf>
      <x:font>
        <x:color rgb="FF7F1D1D"/>
      </x:font>
      <x:fill>
        <x:patternFill patternType="solid">
          <x:bgColor rgb="FFFDE2E1"/>
        </x:patternFill>
      </x:fill>
    </x:dxf>
    <x:dxf>
      <x:font>
        <x:b/>
        <x:color rgb="FF14532D"/>
      </x:font>
      <x:fill>
        <x:patternFill patternType="solid">
          <x:bgColor rgb="FFDFF6DD"/>
        </x:patternFill>
      </x:fill>
    </x:dxf>
    <x:dxf>
      <x:font>
        <x:color rgb="FF7F1D1D"/>
      </x:font>
      <x:fill>
        <x:patternFill patternType="solid">
          <x:bgColor rgb="FFFDE2E1"/>
        </x:patternFill>
      </x:fill>
    </x:dxf>
    <x:dxf>
      <x:font>
        <x:color rgb="FF14532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f6af57113440e" /><Relationship Type="http://schemas.openxmlformats.org/officeDocument/2006/relationships/theme" Target="/xl/theme/theme1.xml" Id="R7bab6b28300743bc" /><Relationship Type="http://schemas.microsoft.com/office/2022/11/relationships/FeaturePropertyBag" Target="/xl/featurePropertyBag/featurePropertyBag.xml" Id="Re863be4db8aa4af4" /><Relationship Type="http://schemas.openxmlformats.org/officeDocument/2006/relationships/sharedStrings" Target="/xl/sharedStrings.xml" Id="R37ece5bd7e824f26" /><Relationship Type="http://schemas.openxmlformats.org/officeDocument/2006/relationships/worksheet" Target="/xl/worksheets/sheet1.xml" Id="Rb2ff0cbad4de4457" /><Relationship Type="http://schemas.openxmlformats.org/officeDocument/2006/relationships/worksheet" Target="/xl/worksheets/sheet2.xml" Id="R81da556f93b9434e" /><Relationship Type="http://schemas.openxmlformats.org/officeDocument/2006/relationships/worksheet" Target="/xl/worksheets/sheet3.xml" Id="Rf41b8fbb86dc4321" /><Relationship Type="http://schemas.openxmlformats.org/officeDocument/2006/relationships/worksheet" Target="/xl/worksheets/sheet4.xml" Id="R084ee83402044019" /><Relationship Type="http://schemas.openxmlformats.org/officeDocument/2006/relationships/worksheet" Target="/xl/worksheets/sheet5.xml" Id="R04dcd8afa5b94287" /><Relationship Type="http://schemas.openxmlformats.org/officeDocument/2006/relationships/worksheet" Target="/xl/worksheets/sheet6.xml" Id="R1c54cd3ff3e846ca" /><Relationship Type="http://schemas.openxmlformats.org/officeDocument/2006/relationships/worksheet" Target="/xl/worksheets/sheet7.xml" Id="R86b87de717d14e01" /><Relationship Type="http://schemas.openxmlformats.org/officeDocument/2006/relationships/worksheet" Target="/xl/worksheets/sheet8.xml" Id="R5cdce4f170604e61" /><Relationship Type="http://schemas.microsoft.com/office/2017/10/relationships/person" Target="/xl/persons/person.xml" Id="Rbc1d5613261e47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89df6c0e7441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平台机会分布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买入观察数</c:v>
          </c:tx>
          <c:dLbls/>
          <c:cat>
            <c:strRef>
              <c:f>'Dashboard'!$L$5:$L$9</c:f>
              <c:strCache>
                <c:ptCount val="0"/>
              </c:strCache>
            </c:strRef>
          </c:cat>
          <c:val>
            <c:numRef>
              <c:f>'Dashboard'!$M$5:$M$9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卖出观察数</c:v>
          </c:tx>
          <c:dLbls/>
          <c:cat>
            <c:strRef>
              <c:f>'Dashboard'!$L$5:$L$9</c:f>
              <c:strCache>
                <c:ptCount val="0"/>
              </c:strCache>
            </c:strRef>
          </c:cat>
          <c:val>
            <c:numRef>
              <c:f>'Dashboard'!$N$5:$N$9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89df6c0e7441d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D49FF39D-7FA5-4B3F-A61F-9F6786711264}"/>
</xltc:personList>
</file>

<file path=xl/tables/table1.xml><?xml version="1.0" encoding="utf-8"?>
<x:table xmlns:x="http://schemas.openxmlformats.org/spreadsheetml/2006/main" id="4" name="OpportunityScanner" displayName="OpportunityScanner" ref="A4:AG104" headerRowCount="1" totalsRowCount="0" totalsRowShown="0">
  <x:tableColumns count="33">
    <x:tableColumn id="1" name="ID"/>
    <x:tableColumn id="2" name="卡名"/>
    <x:tableColumn id="3" name="系列/编号"/>
    <x:tableColumn id="4" name="语言"/>
    <x:tableColumn id="5" name="PSA证书号"/>
    <x:tableColumn id="6" name="PSA10人口"/>
    <x:tableColumn id="7" name="eBay买价"/>
    <x:tableColumn id="8" name="ALT买价"/>
    <x:tableColumn id="9" name="Card Hobby买价"/>
    <x:tableColumn id="10" name="Fanatics买价"/>
    <x:tableColumn id="11" name="PokerColor买价"/>
    <x:tableColumn id="12" name="eBay卖价"/>
    <x:tableColumn id="13" name="ALT卖价"/>
    <x:tableColumn id="14" name="Card Hobby卖价"/>
    <x:tableColumn id="15" name="Fanatics卖价"/>
    <x:tableColumn id="16" name="PokerColor卖价"/>
    <x:tableColumn id="17" name="最低买价"/>
    <x:tableColumn id="18" name="购入平台"/>
    <x:tableColumn id="19" name="最高卖价"/>
    <x:tableColumn id="20" name="售出平台"/>
    <x:tableColumn id="21" name="买方总成本"/>
    <x:tableColumn id="22" name="卖方净回款"/>
    <x:tableColumn id="23" name="预估净利润"/>
    <x:tableColumn id="24" name="ROI"/>
    <x:tableColumn id="25" name="毛价差%"/>
    <x:tableColumn id="26" name="流动性1-5"/>
    <x:tableColumn id="27" name="热度1-5"/>
    <x:tableColumn id="28" name="风险1-5"/>
    <x:tableColumn id="29" name="机会评分"/>
    <x:tableColumn id="30" name="状态"/>
    <x:tableColumn id="31" name="目标买入价"/>
    <x:tableColumn id="32" name="最近检查"/>
    <x:tableColumn id="33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LiveMarket" displayName="LiveMarket" ref="A4:M124" headerRowCount="1" totalsRowCount="0" totalsRowShown="0">
  <x:tableColumns count="13">
    <x:tableColumn id="1" name="ID"/>
    <x:tableColumn id="2" name="卡名"/>
    <x:tableColumn id="3" name="平台"/>
    <x:tableColumn id="4" name="买价CNY"/>
    <x:tableColumn id="5" name="卖价CNY"/>
    <x:tableColumn id="6" name="最低挂牌CNY"/>
    <x:tableColumn id="7" name="样本数"/>
    <x:tableColumn id="8" name="更新时间"/>
    <x:tableColumn id="9" name="状态"/>
    <x:tableColumn id="10" name="数据模式"/>
    <x:tableColumn id="11" name="搜索词"/>
    <x:tableColumn id="12" name="源URL"/>
    <x:tableColumn id="13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ealtimeSettings" displayName="RealtimeSettings" ref="A4:K9" headerRowCount="1" totalsRowCount="0" totalsRowShown="0">
  <x:tableColumns count="11">
    <x:tableColumn id="1" name="平台"/>
    <x:tableColumn id="2" name="实时模式"/>
    <x:tableColumn id="3" name="刷新频率"/>
    <x:tableColumn id="4" name="凭证来源"/>
    <x:tableColumn id="5" name="支持买价"/>
    <x:tableColumn id="6" name="支持卖价"/>
    <x:tableColumn id="7" name="状态"/>
    <x:tableColumn id="8" name="官方/入口URL"/>
    <x:tableColumn id="9" name="本地刷新脚本"/>
    <x:tableColumn id="10" name="限制"/>
    <x:tableColumn id="11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TradeLedger" displayName="TradeLedger" ref="A4:Z204" headerRowCount="1" totalsRowCount="0" totalsRowShown="0">
  <x:tableColumns count="26">
    <x:tableColumn id="1" name="交易ID"/>
    <x:tableColumn id="2" name="卡名"/>
    <x:tableColumn id="3" name="系列/编号"/>
    <x:tableColumn id="4" name="语言"/>
    <x:tableColumn id="5" name="PSA证书号"/>
    <x:tableColumn id="6" name="购入日期"/>
    <x:tableColumn id="7" name="购入平台"/>
    <x:tableColumn id="8" name="购入价"/>
    <x:tableColumn id="9" name="购入费率%"/>
    <x:tableColumn id="10" name="购入运费"/>
    <x:tableColumn id="11" name="总成本"/>
    <x:tableColumn id="12" name="上架日期"/>
    <x:tableColumn id="13" name="售出日期"/>
    <x:tableColumn id="14" name="售出平台"/>
    <x:tableColumn id="15" name="售出价"/>
    <x:tableColumn id="16" name="售出费率%"/>
    <x:tableColumn id="17" name="支付/提现%"/>
    <x:tableColumn id="18" name="出货运费"/>
    <x:tableColumn id="19" name="净回款"/>
    <x:tableColumn id="20" name="实际利润"/>
    <x:tableColumn id="21" name="ROI"/>
    <x:tableColumn id="22" name="持仓天数"/>
    <x:tableColumn id="23" name="状态"/>
    <x:tableColumn id="24" name="买家/订单号"/>
    <x:tableColumn id="25" name="PSA查询URL"/>
    <x:tableColumn id="26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PlatformFees" displayName="PlatformFees" ref="A4:J9" headerRowCount="1" totalsRowCount="0" totalsRowShown="0">
  <x:tableColumns count="10">
    <x:tableColumn id="1" name="平台"/>
    <x:tableColumn id="2" name="网站"/>
    <x:tableColumn id="3" name="币种"/>
    <x:tableColumn id="4" name="汇率至CNY"/>
    <x:tableColumn id="5" name="买家佣金%"/>
    <x:tableColumn id="6" name="卖家佣金%"/>
    <x:tableColumn id="7" name="支付/提现%"/>
    <x:tableColumn id="8" name="入库/国际运费"/>
    <x:tableColumn id="9" name="出库/国内运费"/>
    <x:tableColumn id="10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atchlist" displayName="Watchlist" ref="A4:O104" headerRowCount="1" totalsRowCount="0" totalsRowShown="0">
  <x:tableColumns count="15">
    <x:tableColumn id="1" name="卡名"/>
    <x:tableColumn id="2" name="系列/编号"/>
    <x:tableColumn id="3" name="语言"/>
    <x:tableColumn id="4" name="目标等级"/>
    <x:tableColumn id="5" name="目标买入价"/>
    <x:tableColumn id="6" name="目标卖出价"/>
    <x:tableColumn id="7" name="主要平台"/>
    <x:tableColumn id="8" name="触发条件"/>
    <x:tableColumn id="9" name="当前状态"/>
    <x:tableColumn id="10" name="最近查看"/>
    <x:tableColumn id="11" name="eBay链接"/>
    <x:tableColumn id="12" name="ALT链接"/>
    <x:tableColumn id="13" name="Card Hobby链接"/>
    <x:tableColumn id="14" name="Fanatics链接"/>
    <x:tableColumn id="15" name="PokerColor链接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Dictionary" displayName="DataDictionary" ref="A4:D21" headerRowCount="1" totalsRowCount="0" totalsRowShown="0">
  <x:tableColumns count="4">
    <x:tableColumn id="1" name="工作表"/>
    <x:tableColumn id="2" name="字段/区域"/>
    <x:tableColumn id="3" name="含义"/>
    <x:tableColumn id="4" name="维护方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C5" dT="2026-07-24T21:58:40.524" personId="{D49FF39D-7FA5-4B3F-A61F-9F6786711264}" id="{F1410163-181D-6399-9360-87A5D22A362A}">
    <xltc:text>机会评分是简化排序，不等于建议买入。高价卡仍需核验证书、壳体、成交记录和资金周转。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E5" dT="2026-07-24T21:58:40.523" personId="{D49FF39D-7FA5-4B3F-A61F-9F6786711264}" id="{E6F4E887-C99E-6678-F9F1-3F56797B5A82}">
    <xltc:text>默认费率只是模板假设；真实交易前请以平台最新规则和你的账号费率为准。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ee2b3d5da343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ec9d7ab20ee54aef" /><Relationship Type="http://schemas.openxmlformats.org/officeDocument/2006/relationships/vmlDrawing" Target="/xl/drawings/vmldrawing.vml" Id="R93440e8bf1d148bf" /><Relationship Type="http://schemas.microsoft.com/office/2017/10/relationships/threadedComment" Target="/xl/threadedcomments/threadedcomment.xml" Id="R92b524bc74c14626" /><Relationship Type="http://schemas.openxmlformats.org/officeDocument/2006/relationships/table" Target="/xl/tables/table1.xml" Id="Rf956ca08e73648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c9d79d32cb4c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e5660caece41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ea583eaf534d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83dfde988a334192" /><Relationship Type="http://schemas.openxmlformats.org/officeDocument/2006/relationships/vmlDrawing" Target="/xl/drawings/vmldrawing2.vml" Id="Rc19ea27be04143e5" /><Relationship Type="http://schemas.microsoft.com/office/2017/10/relationships/threadedComment" Target="/xl/threadedcomments/threadedcomment2.xml" Id="R9a0d3efb4d3e4301" /><Relationship Type="http://schemas.openxmlformats.org/officeDocument/2006/relationships/table" Target="/xl/tables/table5.xml" Id="R551bbcead1be4e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0729daedae44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89f4188bce41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4" hidden="0" customWidth="1"/>
    <x:col min="4" max="4" width="13" hidden="0" customWidth="1"/>
    <x:col min="5" max="5" width="26" hidden="0" customWidth="1"/>
    <x:col min="6" max="6" width="16" hidden="0" customWidth="1"/>
    <x:col min="7" max="7" width="16" hidden="0" customWidth="1"/>
    <x:col min="8" max="8" width="12" hidden="0" customWidth="1"/>
    <x:col min="9" max="9" width="10" hidden="0" customWidth="1"/>
    <x:col min="10" max="10" width="12" hidden="0" customWidth="1"/>
    <x:col min="11" max="11" width="3" hidden="0" customWidth="1"/>
    <x:col min="12" max="12" width="18" hidden="0" customWidth="1"/>
    <x:col min="13" max="13" width="12" hidden="0" customWidth="1"/>
    <x:col min="14" max="14" width="12" hidden="0" customWidth="1"/>
  </x:cols>
  <x:sheetData>
    <x:row r="1" ht="34" customHeight="1">
      <x:c r="A1" s="221" t="str">
        <x:v>PTCG PSA10 盈利追踪 Dashboard</x:v>
      </x:c>
      <x:c r="B1" s="221" t="str">
        <x:v>PTCG PSA10 盈利追踪 Dashboard</x:v>
      </x:c>
      <x:c r="C1" s="221" t="str">
        <x:v>PTCG PSA10 盈利追踪 Dashboard</x:v>
      </x:c>
      <x:c r="D1" s="221" t="str">
        <x:v>PTCG PSA10 盈利追踪 Dashboard</x:v>
      </x:c>
      <x:c r="E1" s="221" t="str">
        <x:v>PTCG PSA10 盈利追踪 Dashboard</x:v>
      </x:c>
      <x:c r="F1" s="221" t="str">
        <x:v>PTCG PSA10 盈利追踪 Dashboard</x:v>
      </x:c>
      <x:c r="G1" s="221" t="str">
        <x:v>PTCG PSA10 盈利追踪 Dashboard</x:v>
      </x:c>
      <x:c r="H1" s="221" t="str">
        <x:v>PTCG PSA10 盈利追踪 Dashboard</x:v>
      </x:c>
      <x:c r="I1" s="221" t="str">
        <x:v>PTCG PSA10 盈利追踪 Dashboard</x:v>
      </x:c>
      <x:c r="J1" s="221" t="str">
        <x:v>PTCG PSA10 盈利追踪 Dashboard</x:v>
      </x:c>
      <x:c r="K1" s="221" t="str">
        <x:v>PTCG PSA10 盈利追踪 Dashboard</x:v>
      </x:c>
      <x:c r="L1" s="221" t="str">
        <x:v>PTCG PSA10 盈利追踪 Dashboard</x:v>
      </x:c>
      <x:c r="M1" s="221" t="str">
        <x:v>PTCG PSA10 盈利追踪 Dashboard</x:v>
      </x:c>
      <x:c r="N1" s="221" t="str">
        <x:v>PTCG PSA10 盈利追踪 Dashboard</x:v>
      </x:c>
    </x:row>
    <x:row r="2" ht="30" customHeight="1">
      <x:c r="A2" s="222" t="str">
        <x:v>面向套利决策：先看机会、再看库存、最后看实际利润。所有指标来自机会扫描、交易台账和平台参数。</x:v>
      </x:c>
      <x:c r="B2" s="222" t="str">
        <x:v>面向套利决策：先看机会、再看库存、最后看实际利润。所有指标来自机会扫描、交易台账和平台参数。</x:v>
      </x:c>
      <x:c r="C2" s="222" t="str">
        <x:v>面向套利决策：先看机会、再看库存、最后看实际利润。所有指标来自机会扫描、交易台账和平台参数。</x:v>
      </x:c>
      <x:c r="D2" s="222" t="str">
        <x:v>面向套利决策：先看机会、再看库存、最后看实际利润。所有指标来自机会扫描、交易台账和平台参数。</x:v>
      </x:c>
      <x:c r="E2" s="222" t="str">
        <x:v>面向套利决策：先看机会、再看库存、最后看实际利润。所有指标来自机会扫描、交易台账和平台参数。</x:v>
      </x:c>
      <x:c r="F2" s="222" t="str">
        <x:v>面向套利决策：先看机会、再看库存、最后看实际利润。所有指标来自机会扫描、交易台账和平台参数。</x:v>
      </x:c>
      <x:c r="G2" s="222" t="str">
        <x:v>面向套利决策：先看机会、再看库存、最后看实际利润。所有指标来自机会扫描、交易台账和平台参数。</x:v>
      </x:c>
      <x:c r="H2" s="222" t="str">
        <x:v>面向套利决策：先看机会、再看库存、最后看实际利润。所有指标来自机会扫描、交易台账和平台参数。</x:v>
      </x:c>
      <x:c r="I2" s="223"/>
      <x:c r="J2" s="223"/>
      <x:c r="K2" s="223"/>
      <x:c r="L2" s="223"/>
      <x:c r="M2" s="223"/>
      <x:c r="N2" s="223"/>
    </x:row>
    <x:row r="3">
      <x:c r="A3" s="223"/>
      <x:c r="B3" s="223"/>
      <x:c r="C3" s="223"/>
      <x:c r="D3" s="223"/>
      <x:c r="E3" s="223"/>
      <x:c r="F3" s="223"/>
      <x:c r="G3" s="223"/>
      <x:c r="H3" s="223"/>
      <x:c r="I3" s="223"/>
      <x:c r="J3" s="223"/>
      <x:c r="K3" s="223"/>
      <x:c r="L3" s="223"/>
      <x:c r="M3" s="223"/>
      <x:c r="N3" s="223"/>
    </x:row>
    <x:row r="4">
      <x:c r="A4" s="224" t="str">
        <x:v>库存成本</x:v>
      </x:c>
      <x:c r="B4" s="225" t="n">
        <x:f>SUMIFS('交易台账'!$K$5:$K$204,'交易台账'!$W$5:$W$204,"库存")+SUMIFS('交易台账'!$K$5:$K$204,'交易台账'!$W$5:$W$204,"已上架")</x:f>
        <x:v>2809.6</x:v>
      </x:c>
      <x:c r="C4" s="223"/>
      <x:c r="D4" s="226" t="str">
        <x:v>高优先级机会</x:v>
      </x:c>
      <x:c r="E4" s="227" t="str">
        <x:v>卡名</x:v>
      </x:c>
      <x:c r="F4" s="227" t="str">
        <x:v>购入平台</x:v>
      </x:c>
      <x:c r="G4" s="227" t="str">
        <x:v>售出平台</x:v>
      </x:c>
      <x:c r="H4" s="227" t="str">
        <x:v>净利润</x:v>
      </x:c>
      <x:c r="I4" s="227" t="str">
        <x:v>ROI</x:v>
      </x:c>
      <x:c r="J4" s="228" t="str">
        <x:v>状态</x:v>
      </x:c>
      <x:c r="K4" s="223"/>
      <x:c r="L4" s="229" t="str">
        <x:v>平台</x:v>
      </x:c>
      <x:c r="M4" s="230" t="str">
        <x:v>买入观察数</x:v>
      </x:c>
      <x:c r="N4" s="231" t="str">
        <x:v>卖出观察数</x:v>
      </x:c>
    </x:row>
    <x:row r="5">
      <x:c r="A5" s="232" t="str">
        <x:v>已实现利润</x:v>
      </x:c>
      <x:c r="B5" s="233" t="n">
        <x:f>SUMIFS('交易台账'!$T$5:$T$204,'交易台账'!$W$5:$W$204,"已售出")</x:f>
        <x:v>0</x:v>
      </x:c>
      <x:c r="C5" s="223"/>
      <x:c r="D5" s="234" t="str">
        <x:f>IFERROR(INDEX('机会扫描'!$A$5:$A$104,MATCH(LARGE('机会扫描'!$AC$5:$AC$104,1),'机会扫描'!$AC$5:$AC$104,0)),"")</x:f>
        <x:v>P001</x:v>
      </x:c>
      <x:c r="E5" s="235" t="str">
        <x:f>IF(D5="","",XLOOKUP(D5,'机会扫描'!$A$5:$A$104,'机会扫描'!$B$5:$B$104,""))</x:f>
        <x:v>Pikachu Promo PSA10</x:v>
      </x:c>
      <x:c r="F5" s="235" t="str">
        <x:f>IF(D5="","",XLOOKUP(D5,'机会扫描'!$A$5:$A$104,'机会扫描'!$R$5:$R$104,""))</x:f>
        <x:v>Card Hobby</x:v>
      </x:c>
      <x:c r="G5" s="235" t="str">
        <x:f>IF(D5="","",XLOOKUP(D5,'机会扫描'!$A$5:$A$104,'机会扫描'!$T$5:$T$104,""))</x:f>
        <x:v>Fanatics Collect</x:v>
      </x:c>
      <x:c r="H5" s="236" t="n">
        <x:f>IF(D5="","",XLOOKUP(D5,'机会扫描'!$A$5:$A$104,'机会扫描'!$W$5:$W$104,0))</x:f>
        <x:v>105.19999999999993</x:v>
      </x:c>
      <x:c r="I5" s="237" t="n">
        <x:f>IF(D5="","",XLOOKUP(D5,'机会扫描'!$A$5:$A$104,'机会扫描'!$X$5:$X$104,0))</x:f>
        <x:v>0.10459335852058056</x:v>
      </x:c>
      <x:c r="J5" s="238" t="str">
        <x:f>IF(D5="","",XLOOKUP(D5,'机会扫描'!$A$5:$A$104,'机会扫描'!$AD$5:$AD$104,""))</x:f>
        <x:v>观察</x:v>
      </x:c>
      <x:c r="K5" s="223"/>
      <x:c r="L5" s="239" t="str">
        <x:v>eBay</x:v>
      </x:c>
      <x:c r="M5" s="240" t="n">
        <x:f>COUNTIF('机会扫描'!$R$5:$R$104,L5)</x:f>
        <x:v>0</x:v>
      </x:c>
      <x:c r="N5" s="241" t="n">
        <x:f>COUNTIF('机会扫描'!$T$5:$T$104,L5)</x:f>
        <x:v>0</x:v>
      </x:c>
    </x:row>
    <x:row r="6">
      <x:c r="A6" s="232" t="str">
        <x:v>平均ROI</x:v>
      </x:c>
      <x:c r="B6" s="242" t="n">
        <x:f>IFERROR(AVERAGEIFS('交易台账'!$U$5:$U$204,'交易台账'!$W$5:$W$204,"已售出"),0)</x:f>
        <x:v>0</x:v>
      </x:c>
      <x:c r="C6" s="223"/>
      <x:c r="D6" s="243" t="str">
        <x:f>IFERROR(INDEX('机会扫描'!$A$5:$A$104,MATCH(LARGE('机会扫描'!$AC$5:$AC$104,2),'机会扫描'!$AC$5:$AC$104,0)),"")</x:f>
        <x:v>P002</x:v>
      </x:c>
      <x:c r="E6" s="244" t="str">
        <x:f>IF(D6="","",XLOOKUP(D6,'机会扫描'!$A$5:$A$104,'机会扫描'!$B$5:$B$104,""))</x:f>
        <x:v>Charizard ex SAR PSA10</x:v>
      </x:c>
      <x:c r="F6" s="244" t="str">
        <x:f>IF(D6="","",XLOOKUP(D6,'机会扫描'!$A$5:$A$104,'机会扫描'!$R$5:$R$104,""))</x:f>
        <x:v>Card Hobby</x:v>
      </x:c>
      <x:c r="G6" s="244" t="str">
        <x:f>IF(D6="","",XLOOKUP(D6,'机会扫描'!$A$5:$A$104,'机会扫描'!$T$5:$T$104,""))</x:f>
        <x:v>Fanatics Collect</x:v>
      </x:c>
      <x:c r="H6" s="245" t="n">
        <x:f>IF(D6="","",XLOOKUP(D6,'机会扫描'!$A$5:$A$104,'机会扫描'!$W$5:$W$104,0))</x:f>
        <x:v>72</x:v>
      </x:c>
      <x:c r="I6" s="246" t="n">
        <x:f>IF(D6="","",XLOOKUP(D6,'机会扫描'!$A$5:$A$104,'机会扫描'!$X$5:$X$104,0))</x:f>
        <x:v>0.03951701427003293</x:v>
      </x:c>
      <x:c r="J6" s="247" t="str">
        <x:f>IF(D6="","",XLOOKUP(D6,'机会扫描'!$A$5:$A$104,'机会扫描'!$AD$5:$AD$104,""))</x:f>
        <x:v>可谈价</x:v>
      </x:c>
      <x:c r="K6" s="223"/>
      <x:c r="L6" s="248" t="str">
        <x:v>ALT</x:v>
      </x:c>
      <x:c r="M6" s="249" t="n">
        <x:f>COUNTIF('机会扫描'!$R$5:$R$104,L6)</x:f>
        <x:v>0</x:v>
      </x:c>
      <x:c r="N6" s="250" t="n">
        <x:f>COUNTIF('机会扫描'!$T$5:$T$104,L6)</x:f>
        <x:v>0</x:v>
      </x:c>
    </x:row>
    <x:row r="7">
      <x:c r="A7" s="232" t="str">
        <x:v>在库张数</x:v>
      </x:c>
      <x:c r="B7" s="233" t="n">
        <x:f>COUNTIFS('交易台账'!$W$5:$W$204,"库存")+COUNTIFS('交易台账'!$W$5:$W$204,"已上架")</x:f>
        <x:v>2</x:v>
      </x:c>
      <x:c r="C7" s="223"/>
      <x:c r="D7" s="243" t="str">
        <x:f>IFERROR(INDEX('机会扫描'!$A$5:$A$104,MATCH(LARGE('机会扫描'!$AC$5:$AC$104,3),'机会扫描'!$AC$5:$AC$104,0)),"")</x:f>
        <x:v>P003</x:v>
      </x:c>
      <x:c r="E7" s="244" t="str">
        <x:f>IF(D7="","",XLOOKUP(D7,'机会扫描'!$A$5:$A$104,'机会扫描'!$B$5:$B$104,""))</x:f>
        <x:v>Lillie Full Art PSA10</x:v>
      </x:c>
      <x:c r="F7" s="244" t="str">
        <x:f>IF(D7="","",XLOOKUP(D7,'机会扫描'!$A$5:$A$104,'机会扫描'!$R$5:$R$104,""))</x:f>
      </x:c>
      <x:c r="G7" s="244" t="str">
        <x:f>IF(D7="","",XLOOKUP(D7,'机会扫描'!$A$5:$A$104,'机会扫描'!$T$5:$T$104,""))</x:f>
      </x:c>
      <x:c r="H7" s="245" t="n">
        <x:f>IF(D7="","",XLOOKUP(D7,'机会扫描'!$A$5:$A$104,'机会扫描'!$W$5:$W$104,0))</x:f>
        <x:v>0</x:v>
      </x:c>
      <x:c r="I7" s="246" t="n">
        <x:f>IF(D7="","",XLOOKUP(D7,'机会扫描'!$A$5:$A$104,'机会扫描'!$X$5:$X$104,0))</x:f>
        <x:v>0</x:v>
      </x:c>
      <x:c r="J7" s="247" t="str">
        <x:f>IF(D7="","",XLOOKUP(D7,'机会扫描'!$A$5:$A$104,'机会扫描'!$AD$5:$AD$104,""))</x:f>
        <x:v>高风险</x:v>
      </x:c>
      <x:c r="K7" s="223"/>
      <x:c r="L7" s="248" t="str">
        <x:v>Card Hobby</x:v>
      </x:c>
      <x:c r="M7" s="249" t="n">
        <x:f>COUNTIF('机会扫描'!$R$5:$R$104,L7)</x:f>
        <x:v>2</x:v>
      </x:c>
      <x:c r="N7" s="250" t="n">
        <x:f>COUNTIF('机会扫描'!$T$5:$T$104,L7)</x:f>
        <x:v>0</x:v>
      </x:c>
    </x:row>
    <x:row r="8">
      <x:c r="A8" s="232" t="str">
        <x:v>机会数 ROI&gt;=15%</x:v>
      </x:c>
      <x:c r="B8" s="233" t="n">
        <x:f>COUNTIFS('机会扫描'!$X$5:$X$104,"&gt;=0.15")</x:f>
        <x:v>0</x:v>
      </x:c>
      <x:c r="C8" s="223"/>
      <x:c r="D8" s="243" t="str">
        <x:f>IFERROR(INDEX('机会扫描'!$A$5:$A$104,MATCH(LARGE('机会扫描'!$AC$5:$AC$104,4),'机会扫描'!$AC$5:$AC$104,0)),"")</x:f>
      </x:c>
      <x:c r="E8" s="244" t="str">
        <x:f>IF(D8="","",XLOOKUP(D8,'机会扫描'!$A$5:$A$104,'机会扫描'!$B$5:$B$104,""))</x:f>
      </x:c>
      <x:c r="F8" s="244" t="str">
        <x:f>IF(D8="","",XLOOKUP(D8,'机会扫描'!$A$5:$A$104,'机会扫描'!$R$5:$R$104,""))</x:f>
      </x:c>
      <x:c r="G8" s="244" t="str">
        <x:f>IF(D8="","",XLOOKUP(D8,'机会扫描'!$A$5:$A$104,'机会扫描'!$T$5:$T$104,""))</x:f>
      </x:c>
      <x:c r="H8" s="245" t="str">
        <x:f>IF(D8="","",XLOOKUP(D8,'机会扫描'!$A$5:$A$104,'机会扫描'!$W$5:$W$104,0))</x:f>
      </x:c>
      <x:c r="I8" s="246" t="str">
        <x:f>IF(D8="","",XLOOKUP(D8,'机会扫描'!$A$5:$A$104,'机会扫描'!$X$5:$X$104,0))</x:f>
      </x:c>
      <x:c r="J8" s="247" t="str">
        <x:f>IF(D8="","",XLOOKUP(D8,'机会扫描'!$A$5:$A$104,'机会扫描'!$AD$5:$AD$104,""))</x:f>
      </x:c>
      <x:c r="K8" s="223"/>
      <x:c r="L8" s="248" t="str">
        <x:v>Fanatics Collect</x:v>
      </x:c>
      <x:c r="M8" s="249" t="n">
        <x:f>COUNTIF('机会扫描'!$R$5:$R$104,L8)</x:f>
        <x:v>0</x:v>
      </x:c>
      <x:c r="N8" s="250" t="n">
        <x:f>COUNTIF('机会扫描'!$T$5:$T$104,L8)</x:f>
        <x:v>2</x:v>
      </x:c>
    </x:row>
    <x:row r="9">
      <x:c r="A9" s="251" t="str">
        <x:v>机会净利润合计</x:v>
      </x:c>
      <x:c r="B9" s="252" t="n">
        <x:f>SUMIFS('机会扫描'!$W$5:$W$104,'机会扫描'!$W$5:$W$104,"&gt;0")</x:f>
        <x:v>177.19999999999993</x:v>
      </x:c>
      <x:c r="C9" s="223"/>
      <x:c r="D9" s="243" t="str">
        <x:f>IFERROR(INDEX('机会扫描'!$A$5:$A$104,MATCH(LARGE('机会扫描'!$AC$5:$AC$104,5),'机会扫描'!$AC$5:$AC$104,0)),"")</x:f>
      </x:c>
      <x:c r="E9" s="244" t="str">
        <x:f>IF(D9="","",XLOOKUP(D9,'机会扫描'!$A$5:$A$104,'机会扫描'!$B$5:$B$104,""))</x:f>
      </x:c>
      <x:c r="F9" s="244" t="str">
        <x:f>IF(D9="","",XLOOKUP(D9,'机会扫描'!$A$5:$A$104,'机会扫描'!$R$5:$R$104,""))</x:f>
      </x:c>
      <x:c r="G9" s="244" t="str">
        <x:f>IF(D9="","",XLOOKUP(D9,'机会扫描'!$A$5:$A$104,'机会扫描'!$T$5:$T$104,""))</x:f>
      </x:c>
      <x:c r="H9" s="245" t="str">
        <x:f>IF(D9="","",XLOOKUP(D9,'机会扫描'!$A$5:$A$104,'机会扫描'!$W$5:$W$104,0))</x:f>
      </x:c>
      <x:c r="I9" s="246" t="str">
        <x:f>IF(D9="","",XLOOKUP(D9,'机会扫描'!$A$5:$A$104,'机会扫描'!$X$5:$X$104,0))</x:f>
      </x:c>
      <x:c r="J9" s="247" t="str">
        <x:f>IF(D9="","",XLOOKUP(D9,'机会扫描'!$A$5:$A$104,'机会扫描'!$AD$5:$AD$104,""))</x:f>
      </x:c>
      <x:c r="K9" s="223"/>
      <x:c r="L9" s="253" t="str">
        <x:v>PokerColor</x:v>
      </x:c>
      <x:c r="M9" s="254" t="n">
        <x:f>COUNTIF('机会扫描'!$R$5:$R$104,L9)</x:f>
        <x:v>0</x:v>
      </x:c>
      <x:c r="N9" s="255" t="n">
        <x:f>COUNTIF('机会扫描'!$T$5:$T$104,L9)</x:f>
        <x:v>0</x:v>
      </x:c>
    </x:row>
    <x:row r="10">
      <x:c r="A10" s="223"/>
      <x:c r="B10" s="223"/>
      <x:c r="C10" s="223"/>
      <x:c r="D10" s="243" t="str">
        <x:f>IFERROR(INDEX('机会扫描'!$A$5:$A$104,MATCH(LARGE('机会扫描'!$AC$5:$AC$104,6),'机会扫描'!$AC$5:$AC$104,0)),"")</x:f>
      </x:c>
      <x:c r="E10" s="244" t="str">
        <x:f>IF(D10="","",XLOOKUP(D10,'机会扫描'!$A$5:$A$104,'机会扫描'!$B$5:$B$104,""))</x:f>
      </x:c>
      <x:c r="F10" s="244" t="str">
        <x:f>IF(D10="","",XLOOKUP(D10,'机会扫描'!$A$5:$A$104,'机会扫描'!$R$5:$R$104,""))</x:f>
      </x:c>
      <x:c r="G10" s="244" t="str">
        <x:f>IF(D10="","",XLOOKUP(D10,'机会扫描'!$A$5:$A$104,'机会扫描'!$T$5:$T$104,""))</x:f>
      </x:c>
      <x:c r="H10" s="245" t="str">
        <x:f>IF(D10="","",XLOOKUP(D10,'机会扫描'!$A$5:$A$104,'机会扫描'!$W$5:$W$104,0))</x:f>
      </x:c>
      <x:c r="I10" s="246" t="str">
        <x:f>IF(D10="","",XLOOKUP(D10,'机会扫描'!$A$5:$A$104,'机会扫描'!$X$5:$X$104,0))</x:f>
      </x:c>
      <x:c r="J10" s="247" t="str">
        <x:f>IF(D10="","",XLOOKUP(D10,'机会扫描'!$A$5:$A$104,'机会扫描'!$AD$5:$AD$104,""))</x:f>
      </x:c>
      <x:c r="K10" s="223"/>
      <x:c r="L10" s="223"/>
      <x:c r="M10" s="223"/>
      <x:c r="N10" s="223"/>
    </x:row>
    <x:row r="11">
      <x:c r="A11" s="223"/>
      <x:c r="B11" s="223"/>
      <x:c r="C11" s="223"/>
      <x:c r="D11" s="243" t="str">
        <x:f>IFERROR(INDEX('机会扫描'!$A$5:$A$104,MATCH(LARGE('机会扫描'!$AC$5:$AC$104,7),'机会扫描'!$AC$5:$AC$104,0)),"")</x:f>
      </x:c>
      <x:c r="E11" s="244" t="str">
        <x:f>IF(D11="","",XLOOKUP(D11,'机会扫描'!$A$5:$A$104,'机会扫描'!$B$5:$B$104,""))</x:f>
      </x:c>
      <x:c r="F11" s="244" t="str">
        <x:f>IF(D11="","",XLOOKUP(D11,'机会扫描'!$A$5:$A$104,'机会扫描'!$R$5:$R$104,""))</x:f>
      </x:c>
      <x:c r="G11" s="244" t="str">
        <x:f>IF(D11="","",XLOOKUP(D11,'机会扫描'!$A$5:$A$104,'机会扫描'!$T$5:$T$104,""))</x:f>
      </x:c>
      <x:c r="H11" s="245" t="str">
        <x:f>IF(D11="","",XLOOKUP(D11,'机会扫描'!$A$5:$A$104,'机会扫描'!$W$5:$W$104,0))</x:f>
      </x:c>
      <x:c r="I11" s="246" t="str">
        <x:f>IF(D11="","",XLOOKUP(D11,'机会扫描'!$A$5:$A$104,'机会扫描'!$X$5:$X$104,0))</x:f>
      </x:c>
      <x:c r="J11" s="247" t="str">
        <x:f>IF(D11="","",XLOOKUP(D11,'机会扫描'!$A$5:$A$104,'机会扫描'!$AD$5:$AD$104,""))</x:f>
      </x:c>
      <x:c r="K11" s="223"/>
      <x:c r="L11" s="223"/>
      <x:c r="M11" s="223"/>
      <x:c r="N11" s="223"/>
    </x:row>
    <x:row r="12">
      <x:c r="A12" s="223"/>
      <x:c r="B12" s="223"/>
      <x:c r="C12" s="223"/>
      <x:c r="D12" s="243" t="str">
        <x:f>IFERROR(INDEX('机会扫描'!$A$5:$A$104,MATCH(LARGE('机会扫描'!$AC$5:$AC$104,8),'机会扫描'!$AC$5:$AC$104,0)),"")</x:f>
      </x:c>
      <x:c r="E12" s="244" t="str">
        <x:f>IF(D12="","",XLOOKUP(D12,'机会扫描'!$A$5:$A$104,'机会扫描'!$B$5:$B$104,""))</x:f>
      </x:c>
      <x:c r="F12" s="244" t="str">
        <x:f>IF(D12="","",XLOOKUP(D12,'机会扫描'!$A$5:$A$104,'机会扫描'!$R$5:$R$104,""))</x:f>
      </x:c>
      <x:c r="G12" s="244" t="str">
        <x:f>IF(D12="","",XLOOKUP(D12,'机会扫描'!$A$5:$A$104,'机会扫描'!$T$5:$T$104,""))</x:f>
      </x:c>
      <x:c r="H12" s="245" t="str">
        <x:f>IF(D12="","",XLOOKUP(D12,'机会扫描'!$A$5:$A$104,'机会扫描'!$W$5:$W$104,0))</x:f>
      </x:c>
      <x:c r="I12" s="246" t="str">
        <x:f>IF(D12="","",XLOOKUP(D12,'机会扫描'!$A$5:$A$104,'机会扫描'!$X$5:$X$104,0))</x:f>
      </x:c>
      <x:c r="J12" s="247" t="str">
        <x:f>IF(D12="","",XLOOKUP(D12,'机会扫描'!$A$5:$A$104,'机会扫描'!$AD$5:$AD$104,""))</x:f>
      </x:c>
      <x:c r="K12" s="223"/>
      <x:c r="L12" s="223"/>
      <x:c r="M12" s="223"/>
      <x:c r="N12" s="223"/>
    </x:row>
    <x:row r="13">
      <x:c r="A13" s="223"/>
      <x:c r="B13" s="223"/>
      <x:c r="C13" s="223"/>
      <x:c r="D13" s="243" t="str">
        <x:f>IFERROR(INDEX('机会扫描'!$A$5:$A$104,MATCH(LARGE('机会扫描'!$AC$5:$AC$104,9),'机会扫描'!$AC$5:$AC$104,0)),"")</x:f>
      </x:c>
      <x:c r="E13" s="244" t="str">
        <x:f>IF(D13="","",XLOOKUP(D13,'机会扫描'!$A$5:$A$104,'机会扫描'!$B$5:$B$104,""))</x:f>
      </x:c>
      <x:c r="F13" s="244" t="str">
        <x:f>IF(D13="","",XLOOKUP(D13,'机会扫描'!$A$5:$A$104,'机会扫描'!$R$5:$R$104,""))</x:f>
      </x:c>
      <x:c r="G13" s="244" t="str">
        <x:f>IF(D13="","",XLOOKUP(D13,'机会扫描'!$A$5:$A$104,'机会扫描'!$T$5:$T$104,""))</x:f>
      </x:c>
      <x:c r="H13" s="245" t="str">
        <x:f>IF(D13="","",XLOOKUP(D13,'机会扫描'!$A$5:$A$104,'机会扫描'!$W$5:$W$104,0))</x:f>
      </x:c>
      <x:c r="I13" s="246" t="str">
        <x:f>IF(D13="","",XLOOKUP(D13,'机会扫描'!$A$5:$A$104,'机会扫描'!$X$5:$X$104,0))</x:f>
      </x:c>
      <x:c r="J13" s="247" t="str">
        <x:f>IF(D13="","",XLOOKUP(D13,'机会扫描'!$A$5:$A$104,'机会扫描'!$AD$5:$AD$104,""))</x:f>
      </x:c>
      <x:c r="K13" s="223"/>
      <x:c r="L13" s="223"/>
      <x:c r="M13" s="223"/>
      <x:c r="N13" s="223"/>
    </x:row>
    <x:row r="14">
      <x:c r="A14" s="223"/>
      <x:c r="B14" s="223"/>
      <x:c r="C14" s="223"/>
      <x:c r="D14" s="256" t="str">
        <x:f>IFERROR(INDEX('机会扫描'!$A$5:$A$104,MATCH(LARGE('机会扫描'!$AC$5:$AC$104,10),'机会扫描'!$AC$5:$AC$104,0)),"")</x:f>
      </x:c>
      <x:c r="E14" s="257" t="str">
        <x:f>IF(D14="","",XLOOKUP(D14,'机会扫描'!$A$5:$A$104,'机会扫描'!$B$5:$B$104,""))</x:f>
      </x:c>
      <x:c r="F14" s="257" t="str">
        <x:f>IF(D14="","",XLOOKUP(D14,'机会扫描'!$A$5:$A$104,'机会扫描'!$R$5:$R$104,""))</x:f>
      </x:c>
      <x:c r="G14" s="257" t="str">
        <x:f>IF(D14="","",XLOOKUP(D14,'机会扫描'!$A$5:$A$104,'机会扫描'!$T$5:$T$104,""))</x:f>
      </x:c>
      <x:c r="H14" s="258" t="str">
        <x:f>IF(D14="","",XLOOKUP(D14,'机会扫描'!$A$5:$A$104,'机会扫描'!$W$5:$W$104,0))</x:f>
      </x:c>
      <x:c r="I14" s="259" t="str">
        <x:f>IF(D14="","",XLOOKUP(D14,'机会扫描'!$A$5:$A$104,'机会扫描'!$X$5:$X$104,0))</x:f>
      </x:c>
      <x:c r="J14" s="260" t="str">
        <x:f>IF(D14="","",XLOOKUP(D14,'机会扫描'!$A$5:$A$104,'机会扫描'!$AD$5:$AD$104,""))</x:f>
      </x:c>
      <x:c r="K14" s="223"/>
      <x:c r="L14" s="223"/>
      <x:c r="M14" s="223"/>
      <x:c r="N14" s="223"/>
    </x:row>
  </x:sheetData>
  <x:mergeCells>
    <x:mergeCell ref="A1:N1"/>
    <x:mergeCell ref="A2:H2"/>
  </x:mergeCells>
  <x:pageMargins left="0.7" right="0.7" top="0.75" bottom="0.75" header="0.3" footer="0.3"/>
  <x:drawing xmlns:r="http://schemas.openxmlformats.org/officeDocument/2006/relationships" r:id="Rafee2b3d5da3438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18" hidden="0" customWidth="1"/>
    <x:col min="4" max="4" width="10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6" hidden="0" customWidth="1"/>
    <x:col min="10" max="10" width="14" hidden="0" customWidth="1"/>
    <x:col min="11" max="11" width="15" hidden="0" customWidth="1"/>
    <x:col min="12" max="12" width="12" hidden="0" customWidth="1"/>
    <x:col min="13" max="13" width="12" hidden="0" customWidth="1"/>
    <x:col min="14" max="14" width="16" hidden="0" customWidth="1"/>
    <x:col min="15" max="15" width="14" hidden="0" customWidth="1"/>
    <x:col min="16" max="16" width="15" hidden="0" customWidth="1"/>
    <x:col min="17" max="17" width="12" hidden="0" customWidth="1"/>
    <x:col min="18" max="18" width="14" hidden="0" customWidth="1"/>
    <x:col min="19" max="19" width="12" hidden="0" customWidth="1"/>
    <x:col min="20" max="20" width="14" hidden="0" customWidth="1"/>
    <x:col min="21" max="21" width="13" hidden="0" customWidth="1"/>
    <x:col min="22" max="22" width="13" hidden="0" customWidth="1"/>
    <x:col min="23" max="23" width="13" hidden="0" customWidth="1"/>
    <x:col min="24" max="24" width="10" hidden="0" customWidth="1"/>
    <x:col min="25" max="25" width="10" hidden="0" customWidth="1"/>
    <x:col min="26" max="26" width="11" hidden="0" customWidth="1"/>
    <x:col min="27" max="27" width="9" hidden="0" customWidth="1"/>
    <x:col min="28" max="28" width="9" hidden="0" customWidth="1"/>
    <x:col min="29" max="29" width="11" hidden="0" customWidth="1"/>
    <x:col min="30" max="30" width="12" hidden="0" customWidth="1"/>
    <x:col min="31" max="31" width="13" hidden="0" customWidth="1"/>
    <x:col min="32" max="32" width="12" hidden="0" customWidth="1"/>
    <x:col min="33" max="33" width="28" hidden="0" customWidth="1"/>
  </x:cols>
  <x:sheetData>
    <x:row r="1" ht="34" customHeight="1">
      <x:c r="A1" s="221" t="str">
        <x:v>PTCG PSA10 机会扫描</x:v>
      </x:c>
      <x:c r="B1" s="221" t="str">
        <x:v>PTCG PSA10 机会扫描</x:v>
      </x:c>
      <x:c r="C1" s="221" t="str">
        <x:v>PTCG PSA10 机会扫描</x:v>
      </x:c>
      <x:c r="D1" s="221" t="str">
        <x:v>PTCG PSA10 机会扫描</x:v>
      </x:c>
      <x:c r="E1" s="221" t="str">
        <x:v>PTCG PSA10 机会扫描</x:v>
      </x:c>
      <x:c r="F1" s="221" t="str">
        <x:v>PTCG PSA10 机会扫描</x:v>
      </x:c>
      <x:c r="G1" s="221" t="str">
        <x:v>PTCG PSA10 机会扫描</x:v>
      </x:c>
      <x:c r="H1" s="221" t="str">
        <x:v>PTCG PSA10 机会扫描</x:v>
      </x:c>
      <x:c r="I1" s="221" t="str">
        <x:v>PTCG PSA10 机会扫描</x:v>
      </x:c>
      <x:c r="J1" s="221" t="str">
        <x:v>PTCG PSA10 机会扫描</x:v>
      </x:c>
      <x:c r="K1" s="221" t="str">
        <x:v>PTCG PSA10 机会扫描</x:v>
      </x:c>
      <x:c r="L1" s="221" t="str">
        <x:v>PTCG PSA10 机会扫描</x:v>
      </x:c>
      <x:c r="M1" s="221" t="str">
        <x:v>PTCG PSA10 机会扫描</x:v>
      </x:c>
      <x:c r="N1" s="221" t="str">
        <x:v>PTCG PSA10 机会扫描</x:v>
      </x:c>
      <x:c r="O1" s="221" t="str">
        <x:v>PTCG PSA10 机会扫描</x:v>
      </x:c>
      <x:c r="P1" s="221" t="str">
        <x:v>PTCG PSA10 机会扫描</x:v>
      </x:c>
      <x:c r="Q1" s="221" t="str">
        <x:v>PTCG PSA10 机会扫描</x:v>
      </x:c>
      <x:c r="R1" s="221" t="str">
        <x:v>PTCG PSA10 机会扫描</x:v>
      </x:c>
      <x:c r="S1" s="221" t="str">
        <x:v>PTCG PSA10 机会扫描</x:v>
      </x:c>
      <x:c r="T1" s="221" t="str">
        <x:v>PTCG PSA10 机会扫描</x:v>
      </x:c>
      <x:c r="U1" s="221" t="str">
        <x:v>PTCG PSA10 机会扫描</x:v>
      </x:c>
      <x:c r="V1" s="221" t="str">
        <x:v>PTCG PSA10 机会扫描</x:v>
      </x:c>
      <x:c r="W1" s="221" t="str">
        <x:v>PTCG PSA10 机会扫描</x:v>
      </x:c>
      <x:c r="X1" s="221" t="str">
        <x:v>PTCG PSA10 机会扫描</x:v>
      </x:c>
      <x:c r="Y1" s="221" t="str">
        <x:v>PTCG PSA10 机会扫描</x:v>
      </x:c>
      <x:c r="Z1" s="221" t="str">
        <x:v>PTCG PSA10 机会扫描</x:v>
      </x:c>
      <x:c r="AA1" s="221" t="str">
        <x:v>PTCG PSA10 机会扫描</x:v>
      </x:c>
      <x:c r="AB1" s="221" t="str">
        <x:v>PTCG PSA10 机会扫描</x:v>
      </x:c>
      <x:c r="AC1" s="221" t="str">
        <x:v>PTCG PSA10 机会扫描</x:v>
      </x:c>
      <x:c r="AD1" s="221" t="str">
        <x:v>PTCG PSA10 机会扫描</x:v>
      </x:c>
      <x:c r="AE1" s="221" t="str">
        <x:v>PTCG PSA10 机会扫描</x:v>
      </x:c>
      <x:c r="AF1" s="221" t="str">
        <x:v>PTCG PSA10 机会扫描</x:v>
      </x:c>
      <x:c r="AG1" s="221" t="str">
        <x:v>PTCG PSA10 机会扫描</x:v>
      </x:c>
    </x:row>
    <x:row r="2" ht="30" customHeight="1">
      <x:c r="A2" s="222" t="str">
        <x:v>五个平台价格由“实时行情”表供数；刷新后自动计算最佳购入/售出平台、净利润、ROI、价差和优先级。</x:v>
      </x:c>
      <x:c r="B2" s="222" t="str">
        <x:v>五个平台价格由“实时行情”表供数；刷新后自动计算最佳购入/售出平台、净利润、ROI、价差和优先级。</x:v>
      </x:c>
      <x:c r="C2" s="222" t="str">
        <x:v>五个平台价格由“实时行情”表供数；刷新后自动计算最佳购入/售出平台、净利润、ROI、价差和优先级。</x:v>
      </x:c>
      <x:c r="D2" s="222" t="str">
        <x:v>五个平台价格由“实时行情”表供数；刷新后自动计算最佳购入/售出平台、净利润、ROI、价差和优先级。</x:v>
      </x:c>
      <x:c r="E2" s="222" t="str">
        <x:v>五个平台价格由“实时行情”表供数；刷新后自动计算最佳购入/售出平台、净利润、ROI、价差和优先级。</x:v>
      </x:c>
      <x:c r="F2" s="222" t="str">
        <x:v>五个平台价格由“实时行情”表供数；刷新后自动计算最佳购入/售出平台、净利润、ROI、价差和优先级。</x:v>
      </x:c>
      <x:c r="G2" s="222" t="str">
        <x:v>五个平台价格由“实时行情”表供数；刷新后自动计算最佳购入/售出平台、净利润、ROI、价差和优先级。</x:v>
      </x:c>
      <x:c r="H2" s="222" t="str">
        <x:v>五个平台价格由“实时行情”表供数；刷新后自动计算最佳购入/售出平台、净利润、ROI、价差和优先级。</x:v>
      </x:c>
      <x:c r="I2" s="223"/>
      <x:c r="J2" s="223"/>
      <x:c r="K2" s="223"/>
      <x:c r="L2" s="223"/>
      <x:c r="M2" s="223"/>
      <x:c r="N2" s="223"/>
      <x:c r="O2" s="223"/>
      <x:c r="P2" s="223"/>
      <x:c r="Q2" s="223"/>
      <x:c r="R2" s="223"/>
      <x:c r="S2" s="223"/>
      <x:c r="T2" s="223"/>
      <x:c r="U2" s="223"/>
      <x:c r="V2" s="223"/>
      <x:c r="W2" s="223"/>
      <x:c r="X2" s="223"/>
      <x:c r="Y2" s="223"/>
      <x:c r="Z2" s="223"/>
      <x:c r="AA2" s="223"/>
      <x:c r="AB2" s="223"/>
      <x:c r="AC2" s="223"/>
      <x:c r="AD2" s="223"/>
      <x:c r="AE2" s="223"/>
      <x:c r="AF2" s="223"/>
      <x:c r="AG2" s="223"/>
    </x:row>
    <x:row r="3">
      <x:c r="A3" s="223"/>
      <x:c r="B3" s="223"/>
      <x:c r="C3" s="223"/>
      <x:c r="D3" s="223"/>
      <x:c r="E3" s="223"/>
      <x:c r="F3" s="223"/>
      <x:c r="G3" s="223"/>
      <x:c r="H3" s="223"/>
      <x:c r="I3" s="223"/>
      <x:c r="J3" s="223"/>
      <x:c r="K3" s="223"/>
      <x:c r="L3" s="223"/>
      <x:c r="M3" s="223"/>
      <x:c r="N3" s="223"/>
      <x:c r="O3" s="223"/>
      <x:c r="P3" s="223"/>
      <x:c r="Q3" s="223"/>
      <x:c r="R3" s="223"/>
      <x:c r="S3" s="223"/>
      <x:c r="T3" s="223"/>
      <x:c r="U3" s="223"/>
      <x:c r="V3" s="223"/>
      <x:c r="W3" s="223"/>
      <x:c r="X3" s="223"/>
      <x:c r="Y3" s="223"/>
      <x:c r="Z3" s="223"/>
      <x:c r="AA3" s="223"/>
      <x:c r="AB3" s="223"/>
      <x:c r="AC3" s="223"/>
      <x:c r="AD3" s="223"/>
      <x:c r="AE3" s="223"/>
      <x:c r="AF3" s="223"/>
      <x:c r="AG3" s="223"/>
    </x:row>
    <x:row r="4">
      <x:c r="A4" s="226" t="str">
        <x:v>ID</x:v>
      </x:c>
      <x:c r="B4" s="227" t="str">
        <x:v>卡名</x:v>
      </x:c>
      <x:c r="C4" s="227" t="str">
        <x:v>系列/编号</x:v>
      </x:c>
      <x:c r="D4" s="227" t="str">
        <x:v>语言</x:v>
      </x:c>
      <x:c r="E4" s="227" t="str">
        <x:v>PSA证书号</x:v>
      </x:c>
      <x:c r="F4" s="227" t="str">
        <x:v>PSA10人口</x:v>
      </x:c>
      <x:c r="G4" s="227" t="str">
        <x:v>eBay买价</x:v>
      </x:c>
      <x:c r="H4" s="227" t="str">
        <x:v>ALT买价</x:v>
      </x:c>
      <x:c r="I4" s="227" t="str">
        <x:v>Card Hobby买价</x:v>
      </x:c>
      <x:c r="J4" s="227" t="str">
        <x:v>Fanatics买价</x:v>
      </x:c>
      <x:c r="K4" s="227" t="str">
        <x:v>PokerColor买价</x:v>
      </x:c>
      <x:c r="L4" s="227" t="str">
        <x:v>eBay卖价</x:v>
      </x:c>
      <x:c r="M4" s="227" t="str">
        <x:v>ALT卖价</x:v>
      </x:c>
      <x:c r="N4" s="227" t="str">
        <x:v>Card Hobby卖价</x:v>
      </x:c>
      <x:c r="O4" s="227" t="str">
        <x:v>Fanatics卖价</x:v>
      </x:c>
      <x:c r="P4" s="227" t="str">
        <x:v>PokerColor卖价</x:v>
      </x:c>
      <x:c r="Q4" s="227" t="str">
        <x:v>最低买价</x:v>
      </x:c>
      <x:c r="R4" s="227" t="str">
        <x:v>购入平台</x:v>
      </x:c>
      <x:c r="S4" s="227" t="str">
        <x:v>最高卖价</x:v>
      </x:c>
      <x:c r="T4" s="227" t="str">
        <x:v>售出平台</x:v>
      </x:c>
      <x:c r="U4" s="227" t="str">
        <x:v>买方总成本</x:v>
      </x:c>
      <x:c r="V4" s="227" t="str">
        <x:v>卖方净回款</x:v>
      </x:c>
      <x:c r="W4" s="227" t="str">
        <x:v>预估净利润</x:v>
      </x:c>
      <x:c r="X4" s="227" t="str">
        <x:v>ROI</x:v>
      </x:c>
      <x:c r="Y4" s="227" t="str">
        <x:v>毛价差%</x:v>
      </x:c>
      <x:c r="Z4" s="227" t="str">
        <x:v>流动性1-5</x:v>
      </x:c>
      <x:c r="AA4" s="227" t="str">
        <x:v>热度1-5</x:v>
      </x:c>
      <x:c r="AB4" s="227" t="str">
        <x:v>风险1-5</x:v>
      </x:c>
      <x:c r="AC4" s="227" t="str">
        <x:v>机会评分</x:v>
      </x:c>
      <x:c r="AD4" s="227" t="str">
        <x:v>状态</x:v>
      </x:c>
      <x:c r="AE4" s="227" t="str">
        <x:v>目标买入价</x:v>
      </x:c>
      <x:c r="AF4" s="227" t="str">
        <x:v>最近检查</x:v>
      </x:c>
      <x:c r="AG4" s="228" t="str">
        <x:v>备注</x:v>
      </x:c>
    </x:row>
    <x:row r="5">
      <x:c r="A5" s="261" t="str">
        <x:v>P001</x:v>
      </x:c>
      <x:c r="B5" s="262" t="str">
        <x:v>Pikachu Promo PSA10</x:v>
      </x:c>
      <x:c r="C5" s="262" t="str">
        <x:v>SV-P / Promo</x:v>
      </x:c>
      <x:c r="D5" s="262" t="str">
        <x:v>日文</x:v>
      </x:c>
      <x:c r="E5" s="262" t="str"/>
      <x:c r="F5" s="262" t="n">
        <x:v>0</x:v>
      </x:c>
      <x:c r="G5" s="263" t="n">
        <x:f>SUMIFS('实时行情'!$D$5:$D$124,'实时行情'!$A$5:$A$124,$A5,'实时行情'!$C$5:$C$124,"eBay")</x:f>
        <x:v>980</x:v>
      </x:c>
      <x:c r="H5" s="263" t="n">
        <x:f>SUMIFS('实时行情'!$D$5:$D$124,'实时行情'!$A$5:$A$124,$A5,'实时行情'!$C$5:$C$124,"ALT")</x:f>
        <x:v>1020</x:v>
      </x:c>
      <x:c r="I5" s="263" t="n">
        <x:f>SUMIFS('实时行情'!$D$5:$D$124,'实时行情'!$A$5:$A$124,$A5,'实时行情'!$C$5:$C$124,"Card Hobby")</x:f>
        <x:v>930</x:v>
      </x:c>
      <x:c r="J5" s="263" t="n">
        <x:f>SUMIFS('实时行情'!$D$5:$D$124,'实时行情'!$A$5:$A$124,$A5,'实时行情'!$C$5:$C$124,"Fanatics Collect")</x:f>
        <x:v>1000</x:v>
      </x:c>
      <x:c r="K5" s="263" t="n">
        <x:f>SUMIFS('实时行情'!$D$5:$D$124,'实时行情'!$A$5:$A$124,$A5,'实时行情'!$C$5:$C$124,"PokerColor")</x:f>
        <x:v>960</x:v>
      </x:c>
      <x:c r="L5" s="263" t="n">
        <x:f>SUMIFS('实时行情'!$E$5:$E$124,'实时行情'!$A$5:$A$124,$A5,'实时行情'!$C$5:$C$124,"eBay")</x:f>
        <x:v>1280</x:v>
      </x:c>
      <x:c r="M5" s="263" t="n">
        <x:f>SUMIFS('实时行情'!$E$5:$E$124,'实时行情'!$A$5:$A$124,$A5,'实时行情'!$C$5:$C$124,"ALT")</x:f>
        <x:v>1260</x:v>
      </x:c>
      <x:c r="N5" s="263" t="n">
        <x:f>SUMIFS('实时行情'!$E$5:$E$124,'实时行情'!$A$5:$A$124,$A5,'实时行情'!$C$5:$C$124,"Card Hobby")</x:f>
        <x:v>1180</x:v>
      </x:c>
      <x:c r="O5" s="263" t="n">
        <x:f>SUMIFS('实时行情'!$E$5:$E$124,'实时行情'!$A$5:$A$124,$A5,'实时行情'!$C$5:$C$124,"Fanatics Collect")</x:f>
        <x:v>1300</x:v>
      </x:c>
      <x:c r="P5" s="263" t="n">
        <x:f>SUMIFS('实时行情'!$E$5:$E$124,'实时行情'!$A$5:$A$124,$A5,'实时行情'!$C$5:$C$124,"PokerColor")</x:f>
        <x:v>1210</x:v>
      </x:c>
      <x:c r="Q5" s="263" t="n">
        <x:f>IFERROR(MIN(_xlfn._xlws.FILTER(G5:K5,G5:K5&gt;0)),0)</x:f>
        <x:v>930</x:v>
      </x:c>
      <x:c r="R5" s="263" t="str">
        <x:f>IF(Q5=0,"",SUBSTITUTE(SUBSTITUTE(INDEX($G$4:$K$4,1,MATCH(Q5,G5:K5,0)),"买价",""),"Fanatics","Fanatics Collect"))</x:f>
        <x:v>Card Hobby</x:v>
      </x:c>
      <x:c r="S5" s="263" t="n">
        <x:f>IFERROR(MAX(_xlfn._xlws.FILTER(L5:P5,L5:P5&gt;0)),0)</x:f>
        <x:v>1300</x:v>
      </x:c>
      <x:c r="T5" s="263" t="str">
        <x:f>IF(S5=0,"",SUBSTITUTE(SUBSTITUTE(INDEX($L$4:$P$4,1,MATCH(S5,L5:P5,0)),"卖价",""),"Fanatics","Fanatics Collect"))</x:f>
        <x:v>Fanatics Collect</x:v>
      </x:c>
      <x:c r="U5" s="263" t="n">
        <x:f>IF(Q5=0,0,Q5*(1+XLOOKUP(R5,'平台参数'!$A$5:$A$9,'平台参数'!$E$5:$E$9,0)+XLOOKUP(R5,'平台参数'!$A$5:$A$9,'平台参数'!$G$5:$G$9,0))+XLOOKUP(R5,'平台参数'!$A$5:$A$9,'平台参数'!$H$5:$H$9,0))</x:f>
        <x:v>1005.8000000000001</x:v>
      </x:c>
      <x:c r="V5" s="263" t="n">
        <x:f>IF(S5=0,0,S5*(1-XLOOKUP(T5,'平台参数'!$A$5:$A$9,'平台参数'!$F$5:$F$9,0)-XLOOKUP(T5,'平台参数'!$A$5:$A$9,'平台参数'!$G$5:$G$9,0))-XLOOKUP(T5,'平台参数'!$A$5:$A$9,'平台参数'!$I$5:$I$9,0))</x:f>
        <x:v>1111</x:v>
      </x:c>
      <x:c r="W5" s="263" t="n">
        <x:f>V5-U5</x:f>
        <x:v>105.19999999999993</x:v>
      </x:c>
      <x:c r="X5" s="264" t="n">
        <x:f>IFERROR(W5/U5,0)</x:f>
        <x:v>0.10459335852058056</x:v>
      </x:c>
      <x:c r="Y5" s="264" t="n">
        <x:f>IFERROR((S5-Q5)/Q5,0)</x:f>
        <x:v>0.3978494623655914</x:v>
      </x:c>
      <x:c r="Z5" s="265" t="n">
        <x:v>4</x:v>
      </x:c>
      <x:c r="AA5" s="265" t="n">
        <x:v>5</x:v>
      </x:c>
      <x:c r="AB5" s="265" t="n">
        <x:v>2</x:v>
      </x:c>
      <x:c r="AC5" s="265" t="n">
        <x:f>IF(A5="","",ROUND((Z5+AA5)*10+X5*100-AB5*8,1))</x:f>
        <x:v>84.5</x:v>
      </x:c>
      <x:c r="AD5" s="262" t="str">
        <x:v>观察</x:v>
      </x:c>
      <x:c r="AE5" s="263" t="n">
        <x:f>IF(T5="",0,(S5*(1-XLOOKUP(T5,'平台参数'!$A$5:$A$9,'平台参数'!$F$5:$F$9,0)-XLOOKUP(T5,'平台参数'!$A$5:$A$9,'平台参数'!$G$5:$G$9,0))-XLOOKUP(T5,'平台参数'!$A$5:$A$9,'平台参数'!$I$5:$I$9,0))/1.18)</x:f>
        <x:v>941.5254237288136</x:v>
      </x:c>
      <x:c r="AF5" s="266" t="n">
        <x:f>IF(A5="","",IFERROR(MAX(_xlfn._xlws.FILTER('实时行情'!$H$5:$H$124,'实时行情'!$A$5:$A$124=A5)),TODAY()))</x:f>
        <x:v>46228</x:v>
      </x:c>
      <x:c r="AG5" s="267" t="str">
        <x:v>样例：请替换为真实卡片</x:v>
      </x:c>
    </x:row>
    <x:row r="6">
      <x:c r="A6" s="268" t="str">
        <x:v>P002</x:v>
      </x:c>
      <x:c r="B6" s="269" t="str">
        <x:v>Charizard ex SAR PSA10</x:v>
      </x:c>
      <x:c r="C6" s="269" t="str">
        <x:v>SV / SAR</x:v>
      </x:c>
      <x:c r="D6" s="269" t="str">
        <x:v>日文</x:v>
      </x:c>
      <x:c r="E6" s="269" t="str"/>
      <x:c r="F6" s="269" t="n">
        <x:v>0</x:v>
      </x:c>
      <x:c r="G6" s="270" t="n">
        <x:f>SUMIFS('实时行情'!$D$5:$D$124,'实时行情'!$A$5:$A$124,$A6,'实时行情'!$C$5:$C$124,"eBay")</x:f>
        <x:v>1800</x:v>
      </x:c>
      <x:c r="H6" s="270" t="n">
        <x:f>SUMIFS('实时行情'!$D$5:$D$124,'实时行情'!$A$5:$A$124,$A6,'实时行情'!$C$5:$C$124,"ALT")</x:f>
        <x:v>1760</x:v>
      </x:c>
      <x:c r="I6" s="270" t="n">
        <x:f>SUMIFS('实时行情'!$D$5:$D$124,'实时行情'!$A$5:$A$124,$A6,'实时行情'!$C$5:$C$124,"Card Hobby")</x:f>
        <x:v>1700</x:v>
      </x:c>
      <x:c r="J6" s="270" t="n">
        <x:f>SUMIFS('实时行情'!$D$5:$D$124,'实时行情'!$A$5:$A$124,$A6,'实时行情'!$C$5:$C$124,"Fanatics Collect")</x:f>
        <x:v>1840</x:v>
      </x:c>
      <x:c r="K6" s="270" t="n">
        <x:f>SUMIFS('实时行情'!$D$5:$D$124,'实时行情'!$A$5:$A$124,$A6,'实时行情'!$C$5:$C$124,"PokerColor")</x:f>
        <x:v>1720</x:v>
      </x:c>
      <x:c r="L6" s="270" t="n">
        <x:f>SUMIFS('实时行情'!$E$5:$E$124,'实时行情'!$A$5:$A$124,$A6,'实时行情'!$C$5:$C$124,"eBay")</x:f>
        <x:v>2180</x:v>
      </x:c>
      <x:c r="M6" s="270" t="n">
        <x:f>SUMIFS('实时行情'!$E$5:$E$124,'实时行情'!$A$5:$A$124,$A6,'实时行情'!$C$5:$C$124,"ALT")</x:f>
        <x:v>2120</x:v>
      </x:c>
      <x:c r="N6" s="270" t="n">
        <x:f>SUMIFS('实时行情'!$E$5:$E$124,'实时行情'!$A$5:$A$124,$A6,'实时行情'!$C$5:$C$124,"Card Hobby")</x:f>
        <x:v>2050</x:v>
      </x:c>
      <x:c r="O6" s="270" t="n">
        <x:f>SUMIFS('实时行情'!$E$5:$E$124,'实时行情'!$A$5:$A$124,$A6,'实时行情'!$C$5:$C$124,"Fanatics Collect")</x:f>
        <x:v>2200</x:v>
      </x:c>
      <x:c r="P6" s="270" t="n">
        <x:f>SUMIFS('实时行情'!$E$5:$E$124,'实时行情'!$A$5:$A$124,$A6,'实时行情'!$C$5:$C$124,"PokerColor")</x:f>
        <x:v>2080</x:v>
      </x:c>
      <x:c r="Q6" s="270" t="n">
        <x:f>IFERROR(MIN(_xlfn._xlws.FILTER(G6:K6,G6:K6&gt;0)),0)</x:f>
        <x:v>1700</x:v>
      </x:c>
      <x:c r="R6" s="270" t="str">
        <x:f>IF(Q6=0,"",SUBSTITUTE(SUBSTITUTE(INDEX($G$4:$K$4,1,MATCH(Q6,G6:K6,0)),"买价",""),"Fanatics","Fanatics Collect"))</x:f>
        <x:v>Card Hobby</x:v>
      </x:c>
      <x:c r="S6" s="270" t="n">
        <x:f>IFERROR(MAX(_xlfn._xlws.FILTER(L6:P6,L6:P6&gt;0)),0)</x:f>
        <x:v>2200</x:v>
      </x:c>
      <x:c r="T6" s="270" t="str">
        <x:f>IF(S6=0,"",SUBSTITUTE(SUBSTITUTE(INDEX($L$4:$P$4,1,MATCH(S6,L6:P6,0)),"卖价",""),"Fanatics","Fanatics Collect"))</x:f>
        <x:v>Fanatics Collect</x:v>
      </x:c>
      <x:c r="U6" s="270" t="n">
        <x:f>IF(Q6=0,0,Q6*(1+XLOOKUP(R6,'平台参数'!$A$5:$A$9,'平台参数'!$E$5:$E$9,0)+XLOOKUP(R6,'平台参数'!$A$5:$A$9,'平台参数'!$G$5:$G$9,0))+XLOOKUP(R6,'平台参数'!$A$5:$A$9,'平台参数'!$H$5:$H$9,0))</x:f>
        <x:v>1822</x:v>
      </x:c>
      <x:c r="V6" s="270" t="n">
        <x:f>IF(S6=0,0,S6*(1-XLOOKUP(T6,'平台参数'!$A$5:$A$9,'平台参数'!$F$5:$F$9,0)-XLOOKUP(T6,'平台参数'!$A$5:$A$9,'平台参数'!$G$5:$G$9,0))-XLOOKUP(T6,'平台参数'!$A$5:$A$9,'平台参数'!$I$5:$I$9,0))</x:f>
        <x:v>1894</x:v>
      </x:c>
      <x:c r="W6" s="270" t="n">
        <x:f>V6-U6</x:f>
        <x:v>72</x:v>
      </x:c>
      <x:c r="X6" s="271" t="n">
        <x:f>IFERROR(W6/U6,0)</x:f>
        <x:v>0.03951701427003293</x:v>
      </x:c>
      <x:c r="Y6" s="271" t="n">
        <x:f>IFERROR((S6-Q6)/Q6,0)</x:f>
        <x:v>0.29411764705882354</x:v>
      </x:c>
      <x:c r="Z6" s="272" t="n">
        <x:v>5</x:v>
      </x:c>
      <x:c r="AA6" s="272" t="n">
        <x:v>5</x:v>
      </x:c>
      <x:c r="AB6" s="272" t="n">
        <x:v>3</x:v>
      </x:c>
      <x:c r="AC6" s="272" t="n">
        <x:f>IF(A6="","",ROUND((Z6+AA6)*10+X6*100-AB6*8,1))</x:f>
        <x:v>80</x:v>
      </x:c>
      <x:c r="AD6" s="269" t="str">
        <x:v>可谈价</x:v>
      </x:c>
      <x:c r="AE6" s="270" t="n">
        <x:f>IF(T6="",0,(S6*(1-XLOOKUP(T6,'平台参数'!$A$5:$A$9,'平台参数'!$F$5:$F$9,0)-XLOOKUP(T6,'平台参数'!$A$5:$A$9,'平台参数'!$G$5:$G$9,0))-XLOOKUP(T6,'平台参数'!$A$5:$A$9,'平台参数'!$I$5:$I$9,0))/1.18)</x:f>
        <x:v>1605.084745762712</x:v>
      </x:c>
      <x:c r="AF6" s="273" t="n">
        <x:f>IF(A6="","",IFERROR(MAX(_xlfn._xlws.FILTER('实时行情'!$H$5:$H$124,'实时行情'!$A$5:$A$124=A6)),TODAY()))</x:f>
        <x:v>46228</x:v>
      </x:c>
      <x:c r="AG6" s="274" t="str">
        <x:v>样例</x:v>
      </x:c>
    </x:row>
    <x:row r="7">
      <x:c r="A7" s="268" t="str">
        <x:v>P003</x:v>
      </x:c>
      <x:c r="B7" s="269" t="str">
        <x:v>Lillie Full Art PSA10</x:v>
      </x:c>
      <x:c r="C7" s="269" t="str">
        <x:v>SM / Trainer</x:v>
      </x:c>
      <x:c r="D7" s="269" t="str">
        <x:v>日文</x:v>
      </x:c>
      <x:c r="E7" s="269" t="str"/>
      <x:c r="F7" s="269" t="n">
        <x:v>0</x:v>
      </x:c>
      <x:c r="G7" s="270" t="n">
        <x:f>SUMIFS('实时行情'!$D$5:$D$124,'实时行情'!$A$5:$A$124,$A7,'实时行情'!$C$5:$C$124,"eBay")</x:f>
        <x:v>0</x:v>
      </x:c>
      <x:c r="H7" s="270" t="n">
        <x:f>SUMIFS('实时行情'!$D$5:$D$124,'实时行情'!$A$5:$A$124,$A7,'实时行情'!$C$5:$C$124,"ALT")</x:f>
        <x:v>0</x:v>
      </x:c>
      <x:c r="I7" s="270" t="n">
        <x:f>SUMIFS('实时行情'!$D$5:$D$124,'实时行情'!$A$5:$A$124,$A7,'实时行情'!$C$5:$C$124,"Card Hobby")</x:f>
        <x:v>6800</x:v>
      </x:c>
      <x:c r="J7" s="270" t="n">
        <x:f>SUMIFS('实时行情'!$D$5:$D$124,'实时行情'!$A$5:$A$124,$A7,'实时行情'!$C$5:$C$124,"Fanatics Collect")</x:f>
        <x:v>0</x:v>
      </x:c>
      <x:c r="K7" s="270" t="n">
        <x:f>SUMIFS('实时行情'!$D$5:$D$124,'实时行情'!$A$5:$A$124,$A7,'实时行情'!$C$5:$C$124,"PokerColor")</x:f>
        <x:v>6500</x:v>
      </x:c>
      <x:c r="L7" s="270" t="n">
        <x:f>SUMIFS('实时行情'!$E$5:$E$124,'实时行情'!$A$5:$A$124,$A7,'实时行情'!$C$5:$C$124,"eBay")</x:f>
        <x:v>0</x:v>
      </x:c>
      <x:c r="M7" s="270" t="n">
        <x:f>SUMIFS('实时行情'!$E$5:$E$124,'实时行情'!$A$5:$A$124,$A7,'实时行情'!$C$5:$C$124,"ALT")</x:f>
        <x:v>7600</x:v>
      </x:c>
      <x:c r="N7" s="270" t="n">
        <x:f>SUMIFS('实时行情'!$E$5:$E$124,'实时行情'!$A$5:$A$124,$A7,'实时行情'!$C$5:$C$124,"Card Hobby")</x:f>
        <x:v>7200</x:v>
      </x:c>
      <x:c r="O7" s="270" t="n">
        <x:f>SUMIFS('实时行情'!$E$5:$E$124,'实时行情'!$A$5:$A$124,$A7,'实时行情'!$C$5:$C$124,"Fanatics Collect")</x:f>
        <x:v>0</x:v>
      </x:c>
      <x:c r="P7" s="270" t="n">
        <x:f>SUMIFS('实时行情'!$E$5:$E$124,'实时行情'!$A$5:$A$124,$A7,'实时行情'!$C$5:$C$124,"PokerColor")</x:f>
        <x:v>7350</x:v>
      </x:c>
      <x:c r="Q7" s="270" t="n">
        <x:f>IFERROR(MIN(_xlfn._xlws.FILTER(G7:K7,G7:K7&gt;0)),0)</x:f>
        <x:v>0</x:v>
      </x:c>
      <x:c r="R7" s="270" t="str">
        <x:f>IF(Q7=0,"",SUBSTITUTE(SUBSTITUTE(INDEX($G$4:$K$4,1,MATCH(Q7,G7:K7,0)),"买价",""),"Fanatics","Fanatics Collect"))</x:f>
      </x:c>
      <x:c r="S7" s="270" t="n">
        <x:f>IFERROR(MAX(_xlfn._xlws.FILTER(L7:P7,L7:P7&gt;0)),0)</x:f>
        <x:v>0</x:v>
      </x:c>
      <x:c r="T7" s="270" t="str">
        <x:f>IF(S7=0,"",SUBSTITUTE(SUBSTITUTE(INDEX($L$4:$P$4,1,MATCH(S7,L7:P7,0)),"卖价",""),"Fanatics","Fanatics Collect"))</x:f>
      </x:c>
      <x:c r="U7" s="270" t="n">
        <x:f>IF(Q7=0,0,Q7*(1+XLOOKUP(R7,'平台参数'!$A$5:$A$9,'平台参数'!$E$5:$E$9,0)+XLOOKUP(R7,'平台参数'!$A$5:$A$9,'平台参数'!$G$5:$G$9,0))+XLOOKUP(R7,'平台参数'!$A$5:$A$9,'平台参数'!$H$5:$H$9,0))</x:f>
        <x:v>0</x:v>
      </x:c>
      <x:c r="V7" s="270" t="n">
        <x:f>IF(S7=0,0,S7*(1-XLOOKUP(T7,'平台参数'!$A$5:$A$9,'平台参数'!$F$5:$F$9,0)-XLOOKUP(T7,'平台参数'!$A$5:$A$9,'平台参数'!$G$5:$G$9,0))-XLOOKUP(T7,'平台参数'!$A$5:$A$9,'平台参数'!$I$5:$I$9,0))</x:f>
        <x:v>0</x:v>
      </x:c>
      <x:c r="W7" s="270" t="n">
        <x:f>V7-U7</x:f>
        <x:v>0</x:v>
      </x:c>
      <x:c r="X7" s="271" t="n">
        <x:f>IFERROR(W7/U7,0)</x:f>
        <x:v>0</x:v>
      </x:c>
      <x:c r="Y7" s="271" t="n">
        <x:f>IFERROR((S7-Q7)/Q7,0)</x:f>
        <x:v>0</x:v>
      </x:c>
      <x:c r="Z7" s="272" t="n">
        <x:v>3</x:v>
      </x:c>
      <x:c r="AA7" s="272" t="n">
        <x:v>5</x:v>
      </x:c>
      <x:c r="AB7" s="272" t="n">
        <x:v>4</x:v>
      </x:c>
      <x:c r="AC7" s="272" t="n">
        <x:f>IF(A7="","",ROUND((Z7+AA7)*10+X7*100-AB7*8,1))</x:f>
        <x:v>48</x:v>
      </x:c>
      <x:c r="AD7" s="269" t="str">
        <x:v>高风险</x:v>
      </x:c>
      <x:c r="AE7" s="270" t="n">
        <x:f>IF(T7="",0,(S7*(1-XLOOKUP(T7,'平台参数'!$A$5:$A$9,'平台参数'!$F$5:$F$9,0)-XLOOKUP(T7,'平台参数'!$A$5:$A$9,'平台参数'!$G$5:$G$9,0))-XLOOKUP(T7,'平台参数'!$A$5:$A$9,'平台参数'!$I$5:$I$9,0))/1.18)</x:f>
        <x:v>0</x:v>
      </x:c>
      <x:c r="AF7" s="273" t="n">
        <x:f>IF(A7="","",IFERROR(MAX(_xlfn._xlws.FILTER('实时行情'!$H$5:$H$124,'实时行情'!$A$5:$A$124=A7)),TODAY()))</x:f>
        <x:v>46228</x:v>
      </x:c>
      <x:c r="AG7" s="274" t="str">
        <x:v>样例：高单价需严查证书</x:v>
      </x:c>
    </x:row>
    <x:row r="8">
      <x:c r="A8" s="268"/>
      <x:c r="B8" s="269"/>
      <x:c r="C8" s="269"/>
      <x:c r="D8" s="269"/>
      <x:c r="E8" s="269"/>
      <x:c r="F8" s="269"/>
      <x:c r="G8" s="270" t="n">
        <x:f>SUMIFS('实时行情'!$D$5:$D$124,'实时行情'!$A$5:$A$124,$A8,'实时行情'!$C$5:$C$124,"eBay")</x:f>
        <x:v>0</x:v>
      </x:c>
      <x:c r="H8" s="270" t="n">
        <x:f>SUMIFS('实时行情'!$D$5:$D$124,'实时行情'!$A$5:$A$124,$A8,'实时行情'!$C$5:$C$124,"ALT")</x:f>
        <x:v>0</x:v>
      </x:c>
      <x:c r="I8" s="270" t="n">
        <x:f>SUMIFS('实时行情'!$D$5:$D$124,'实时行情'!$A$5:$A$124,$A8,'实时行情'!$C$5:$C$124,"Card Hobby")</x:f>
        <x:v>0</x:v>
      </x:c>
      <x:c r="J8" s="270" t="n">
        <x:f>SUMIFS('实时行情'!$D$5:$D$124,'实时行情'!$A$5:$A$124,$A8,'实时行情'!$C$5:$C$124,"Fanatics Collect")</x:f>
        <x:v>0</x:v>
      </x:c>
      <x:c r="K8" s="270" t="n">
        <x:f>SUMIFS('实时行情'!$D$5:$D$124,'实时行情'!$A$5:$A$124,$A8,'实时行情'!$C$5:$C$124,"PokerColor")</x:f>
        <x:v>0</x:v>
      </x:c>
      <x:c r="L8" s="270" t="n">
        <x:f>SUMIFS('实时行情'!$E$5:$E$124,'实时行情'!$A$5:$A$124,$A8,'实时行情'!$C$5:$C$124,"eBay")</x:f>
        <x:v>0</x:v>
      </x:c>
      <x:c r="M8" s="270" t="n">
        <x:f>SUMIFS('实时行情'!$E$5:$E$124,'实时行情'!$A$5:$A$124,$A8,'实时行情'!$C$5:$C$124,"ALT")</x:f>
        <x:v>0</x:v>
      </x:c>
      <x:c r="N8" s="270" t="n">
        <x:f>SUMIFS('实时行情'!$E$5:$E$124,'实时行情'!$A$5:$A$124,$A8,'实时行情'!$C$5:$C$124,"Card Hobby")</x:f>
        <x:v>0</x:v>
      </x:c>
      <x:c r="O8" s="270" t="n">
        <x:f>SUMIFS('实时行情'!$E$5:$E$124,'实时行情'!$A$5:$A$124,$A8,'实时行情'!$C$5:$C$124,"Fanatics Collect")</x:f>
        <x:v>0</x:v>
      </x:c>
      <x:c r="P8" s="270" t="n">
        <x:f>SUMIFS('实时行情'!$E$5:$E$124,'实时行情'!$A$5:$A$124,$A8,'实时行情'!$C$5:$C$124,"PokerColor")</x:f>
        <x:v>0</x:v>
      </x:c>
      <x:c r="Q8" s="270" t="n">
        <x:f>IFERROR(MIN(_xlfn._xlws.FILTER(G8:K8,G8:K8&gt;0)),0)</x:f>
        <x:v>0</x:v>
      </x:c>
      <x:c r="R8" s="270" t="str">
        <x:f>IF(Q8=0,"",SUBSTITUTE(SUBSTITUTE(INDEX($G$4:$K$4,1,MATCH(Q8,G8:K8,0)),"买价",""),"Fanatics","Fanatics Collect"))</x:f>
      </x:c>
      <x:c r="S8" s="270" t="n">
        <x:f>IFERROR(MAX(_xlfn._xlws.FILTER(L8:P8,L8:P8&gt;0)),0)</x:f>
        <x:v>0</x:v>
      </x:c>
      <x:c r="T8" s="270" t="str">
        <x:f>IF(S8=0,"",SUBSTITUTE(SUBSTITUTE(INDEX($L$4:$P$4,1,MATCH(S8,L8:P8,0)),"卖价",""),"Fanatics","Fanatics Collect"))</x:f>
      </x:c>
      <x:c r="U8" s="270" t="n">
        <x:f>IF(Q8=0,0,Q8*(1+XLOOKUP(R8,'平台参数'!$A$5:$A$9,'平台参数'!$E$5:$E$9,0)+XLOOKUP(R8,'平台参数'!$A$5:$A$9,'平台参数'!$G$5:$G$9,0))+XLOOKUP(R8,'平台参数'!$A$5:$A$9,'平台参数'!$H$5:$H$9,0))</x:f>
        <x:v>0</x:v>
      </x:c>
      <x:c r="V8" s="270" t="n">
        <x:f>IF(S8=0,0,S8*(1-XLOOKUP(T8,'平台参数'!$A$5:$A$9,'平台参数'!$F$5:$F$9,0)-XLOOKUP(T8,'平台参数'!$A$5:$A$9,'平台参数'!$G$5:$G$9,0))-XLOOKUP(T8,'平台参数'!$A$5:$A$9,'平台参数'!$I$5:$I$9,0))</x:f>
        <x:v>0</x:v>
      </x:c>
      <x:c r="W8" s="270" t="n">
        <x:f>V8-U8</x:f>
        <x:v>0</x:v>
      </x:c>
      <x:c r="X8" s="271" t="n">
        <x:f>IFERROR(W8/U8,0)</x:f>
        <x:v>0</x:v>
      </x:c>
      <x:c r="Y8" s="271" t="n">
        <x:f>IFERROR((S8-Q8)/Q8,0)</x:f>
        <x:v>0</x:v>
      </x:c>
      <x:c r="Z8" s="272"/>
      <x:c r="AA8" s="272"/>
      <x:c r="AB8" s="272"/>
      <x:c r="AC8" s="272" t="str">
        <x:f>IF(A8="","",ROUND((Z8+AA8)*10+X8*100-AB8*8,1))</x:f>
      </x:c>
      <x:c r="AD8" s="269"/>
      <x:c r="AE8" s="270" t="n">
        <x:f>IF(T8="",0,(S8*(1-XLOOKUP(T8,'平台参数'!$A$5:$A$9,'平台参数'!$F$5:$F$9,0)-XLOOKUP(T8,'平台参数'!$A$5:$A$9,'平台参数'!$G$5:$G$9,0))-XLOOKUP(T8,'平台参数'!$A$5:$A$9,'平台参数'!$I$5:$I$9,0))/1.18)</x:f>
        <x:v>0</x:v>
      </x:c>
      <x:c r="AF8" s="273" t="str">
        <x:f>IF(A8="","",IFERROR(MAX(_xlfn._xlws.FILTER('实时行情'!$H$5:$H$124,'实时行情'!$A$5:$A$124=A8)),TODAY()))</x:f>
      </x:c>
      <x:c r="AG8" s="274"/>
    </x:row>
    <x:row r="9">
      <x:c r="A9" s="268"/>
      <x:c r="B9" s="269"/>
      <x:c r="C9" s="269"/>
      <x:c r="D9" s="269"/>
      <x:c r="E9" s="269"/>
      <x:c r="F9" s="269"/>
      <x:c r="G9" s="270" t="n">
        <x:f>SUMIFS('实时行情'!$D$5:$D$124,'实时行情'!$A$5:$A$124,$A9,'实时行情'!$C$5:$C$124,"eBay")</x:f>
        <x:v>0</x:v>
      </x:c>
      <x:c r="H9" s="270" t="n">
        <x:f>SUMIFS('实时行情'!$D$5:$D$124,'实时行情'!$A$5:$A$124,$A9,'实时行情'!$C$5:$C$124,"ALT")</x:f>
        <x:v>0</x:v>
      </x:c>
      <x:c r="I9" s="270" t="n">
        <x:f>SUMIFS('实时行情'!$D$5:$D$124,'实时行情'!$A$5:$A$124,$A9,'实时行情'!$C$5:$C$124,"Card Hobby")</x:f>
        <x:v>0</x:v>
      </x:c>
      <x:c r="J9" s="270" t="n">
        <x:f>SUMIFS('实时行情'!$D$5:$D$124,'实时行情'!$A$5:$A$124,$A9,'实时行情'!$C$5:$C$124,"Fanatics Collect")</x:f>
        <x:v>0</x:v>
      </x:c>
      <x:c r="K9" s="270" t="n">
        <x:f>SUMIFS('实时行情'!$D$5:$D$124,'实时行情'!$A$5:$A$124,$A9,'实时行情'!$C$5:$C$124,"PokerColor")</x:f>
        <x:v>0</x:v>
      </x:c>
      <x:c r="L9" s="270" t="n">
        <x:f>SUMIFS('实时行情'!$E$5:$E$124,'实时行情'!$A$5:$A$124,$A9,'实时行情'!$C$5:$C$124,"eBay")</x:f>
        <x:v>0</x:v>
      </x:c>
      <x:c r="M9" s="270" t="n">
        <x:f>SUMIFS('实时行情'!$E$5:$E$124,'实时行情'!$A$5:$A$124,$A9,'实时行情'!$C$5:$C$124,"ALT")</x:f>
        <x:v>0</x:v>
      </x:c>
      <x:c r="N9" s="270" t="n">
        <x:f>SUMIFS('实时行情'!$E$5:$E$124,'实时行情'!$A$5:$A$124,$A9,'实时行情'!$C$5:$C$124,"Card Hobby")</x:f>
        <x:v>0</x:v>
      </x:c>
      <x:c r="O9" s="270" t="n">
        <x:f>SUMIFS('实时行情'!$E$5:$E$124,'实时行情'!$A$5:$A$124,$A9,'实时行情'!$C$5:$C$124,"Fanatics Collect")</x:f>
        <x:v>0</x:v>
      </x:c>
      <x:c r="P9" s="270" t="n">
        <x:f>SUMIFS('实时行情'!$E$5:$E$124,'实时行情'!$A$5:$A$124,$A9,'实时行情'!$C$5:$C$124,"PokerColor")</x:f>
        <x:v>0</x:v>
      </x:c>
      <x:c r="Q9" s="270" t="n">
        <x:f>IFERROR(MIN(_xlfn._xlws.FILTER(G9:K9,G9:K9&gt;0)),0)</x:f>
        <x:v>0</x:v>
      </x:c>
      <x:c r="R9" s="270" t="str">
        <x:f>IF(Q9=0,"",SUBSTITUTE(SUBSTITUTE(INDEX($G$4:$K$4,1,MATCH(Q9,G9:K9,0)),"买价",""),"Fanatics","Fanatics Collect"))</x:f>
      </x:c>
      <x:c r="S9" s="270" t="n">
        <x:f>IFERROR(MAX(_xlfn._xlws.FILTER(L9:P9,L9:P9&gt;0)),0)</x:f>
        <x:v>0</x:v>
      </x:c>
      <x:c r="T9" s="270" t="str">
        <x:f>IF(S9=0,"",SUBSTITUTE(SUBSTITUTE(INDEX($L$4:$P$4,1,MATCH(S9,L9:P9,0)),"卖价",""),"Fanatics","Fanatics Collect"))</x:f>
      </x:c>
      <x:c r="U9" s="270" t="n">
        <x:f>IF(Q9=0,0,Q9*(1+XLOOKUP(R9,'平台参数'!$A$5:$A$9,'平台参数'!$E$5:$E$9,0)+XLOOKUP(R9,'平台参数'!$A$5:$A$9,'平台参数'!$G$5:$G$9,0))+XLOOKUP(R9,'平台参数'!$A$5:$A$9,'平台参数'!$H$5:$H$9,0))</x:f>
        <x:v>0</x:v>
      </x:c>
      <x:c r="V9" s="270" t="n">
        <x:f>IF(S9=0,0,S9*(1-XLOOKUP(T9,'平台参数'!$A$5:$A$9,'平台参数'!$F$5:$F$9,0)-XLOOKUP(T9,'平台参数'!$A$5:$A$9,'平台参数'!$G$5:$G$9,0))-XLOOKUP(T9,'平台参数'!$A$5:$A$9,'平台参数'!$I$5:$I$9,0))</x:f>
        <x:v>0</x:v>
      </x:c>
      <x:c r="W9" s="270" t="n">
        <x:f>V9-U9</x:f>
        <x:v>0</x:v>
      </x:c>
      <x:c r="X9" s="271" t="n">
        <x:f>IFERROR(W9/U9,0)</x:f>
        <x:v>0</x:v>
      </x:c>
      <x:c r="Y9" s="271" t="n">
        <x:f>IFERROR((S9-Q9)/Q9,0)</x:f>
        <x:v>0</x:v>
      </x:c>
      <x:c r="Z9" s="272"/>
      <x:c r="AA9" s="272"/>
      <x:c r="AB9" s="272"/>
      <x:c r="AC9" s="272" t="str">
        <x:f>IF(A9="","",ROUND((Z9+AA9)*10+X9*100-AB9*8,1))</x:f>
      </x:c>
      <x:c r="AD9" s="269"/>
      <x:c r="AE9" s="270" t="n">
        <x:f>IF(T9="",0,(S9*(1-XLOOKUP(T9,'平台参数'!$A$5:$A$9,'平台参数'!$F$5:$F$9,0)-XLOOKUP(T9,'平台参数'!$A$5:$A$9,'平台参数'!$G$5:$G$9,0))-XLOOKUP(T9,'平台参数'!$A$5:$A$9,'平台参数'!$I$5:$I$9,0))/1.18)</x:f>
        <x:v>0</x:v>
      </x:c>
      <x:c r="AF9" s="273" t="str">
        <x:f>IF(A9="","",IFERROR(MAX(_xlfn._xlws.FILTER('实时行情'!$H$5:$H$124,'实时行情'!$A$5:$A$124=A9)),TODAY()))</x:f>
      </x:c>
      <x:c r="AG9" s="274"/>
    </x:row>
    <x:row r="10">
      <x:c r="A10" s="268"/>
      <x:c r="B10" s="269"/>
      <x:c r="C10" s="269"/>
      <x:c r="D10" s="269"/>
      <x:c r="E10" s="269"/>
      <x:c r="F10" s="269"/>
      <x:c r="G10" s="270" t="n">
        <x:f>SUMIFS('实时行情'!$D$5:$D$124,'实时行情'!$A$5:$A$124,$A10,'实时行情'!$C$5:$C$124,"eBay")</x:f>
        <x:v>0</x:v>
      </x:c>
      <x:c r="H10" s="270" t="n">
        <x:f>SUMIFS('实时行情'!$D$5:$D$124,'实时行情'!$A$5:$A$124,$A10,'实时行情'!$C$5:$C$124,"ALT")</x:f>
        <x:v>0</x:v>
      </x:c>
      <x:c r="I10" s="270" t="n">
        <x:f>SUMIFS('实时行情'!$D$5:$D$124,'实时行情'!$A$5:$A$124,$A10,'实时行情'!$C$5:$C$124,"Card Hobby")</x:f>
        <x:v>0</x:v>
      </x:c>
      <x:c r="J10" s="270" t="n">
        <x:f>SUMIFS('实时行情'!$D$5:$D$124,'实时行情'!$A$5:$A$124,$A10,'实时行情'!$C$5:$C$124,"Fanatics Collect")</x:f>
        <x:v>0</x:v>
      </x:c>
      <x:c r="K10" s="270" t="n">
        <x:f>SUMIFS('实时行情'!$D$5:$D$124,'实时行情'!$A$5:$A$124,$A10,'实时行情'!$C$5:$C$124,"PokerColor")</x:f>
        <x:v>0</x:v>
      </x:c>
      <x:c r="L10" s="270" t="n">
        <x:f>SUMIFS('实时行情'!$E$5:$E$124,'实时行情'!$A$5:$A$124,$A10,'实时行情'!$C$5:$C$124,"eBay")</x:f>
        <x:v>0</x:v>
      </x:c>
      <x:c r="M10" s="270" t="n">
        <x:f>SUMIFS('实时行情'!$E$5:$E$124,'实时行情'!$A$5:$A$124,$A10,'实时行情'!$C$5:$C$124,"ALT")</x:f>
        <x:v>0</x:v>
      </x:c>
      <x:c r="N10" s="270" t="n">
        <x:f>SUMIFS('实时行情'!$E$5:$E$124,'实时行情'!$A$5:$A$124,$A10,'实时行情'!$C$5:$C$124,"Card Hobby")</x:f>
        <x:v>0</x:v>
      </x:c>
      <x:c r="O10" s="270" t="n">
        <x:f>SUMIFS('实时行情'!$E$5:$E$124,'实时行情'!$A$5:$A$124,$A10,'实时行情'!$C$5:$C$124,"Fanatics Collect")</x:f>
        <x:v>0</x:v>
      </x:c>
      <x:c r="P10" s="270" t="n">
        <x:f>SUMIFS('实时行情'!$E$5:$E$124,'实时行情'!$A$5:$A$124,$A10,'实时行情'!$C$5:$C$124,"PokerColor")</x:f>
        <x:v>0</x:v>
      </x:c>
      <x:c r="Q10" s="270" t="n">
        <x:f>IFERROR(MIN(_xlfn._xlws.FILTER(G10:K10,G10:K10&gt;0)),0)</x:f>
        <x:v>0</x:v>
      </x:c>
      <x:c r="R10" s="270" t="str">
        <x:f>IF(Q10=0,"",SUBSTITUTE(SUBSTITUTE(INDEX($G$4:$K$4,1,MATCH(Q10,G10:K10,0)),"买价",""),"Fanatics","Fanatics Collect"))</x:f>
      </x:c>
      <x:c r="S10" s="270" t="n">
        <x:f>IFERROR(MAX(_xlfn._xlws.FILTER(L10:P10,L10:P10&gt;0)),0)</x:f>
        <x:v>0</x:v>
      </x:c>
      <x:c r="T10" s="270" t="str">
        <x:f>IF(S10=0,"",SUBSTITUTE(SUBSTITUTE(INDEX($L$4:$P$4,1,MATCH(S10,L10:P10,0)),"卖价",""),"Fanatics","Fanatics Collect"))</x:f>
      </x:c>
      <x:c r="U10" s="270" t="n">
        <x:f>IF(Q10=0,0,Q10*(1+XLOOKUP(R10,'平台参数'!$A$5:$A$9,'平台参数'!$E$5:$E$9,0)+XLOOKUP(R10,'平台参数'!$A$5:$A$9,'平台参数'!$G$5:$G$9,0))+XLOOKUP(R10,'平台参数'!$A$5:$A$9,'平台参数'!$H$5:$H$9,0))</x:f>
        <x:v>0</x:v>
      </x:c>
      <x:c r="V10" s="270" t="n">
        <x:f>IF(S10=0,0,S10*(1-XLOOKUP(T10,'平台参数'!$A$5:$A$9,'平台参数'!$F$5:$F$9,0)-XLOOKUP(T10,'平台参数'!$A$5:$A$9,'平台参数'!$G$5:$G$9,0))-XLOOKUP(T10,'平台参数'!$A$5:$A$9,'平台参数'!$I$5:$I$9,0))</x:f>
        <x:v>0</x:v>
      </x:c>
      <x:c r="W10" s="270" t="n">
        <x:f>V10-U10</x:f>
        <x:v>0</x:v>
      </x:c>
      <x:c r="X10" s="271" t="n">
        <x:f>IFERROR(W10/U10,0)</x:f>
        <x:v>0</x:v>
      </x:c>
      <x:c r="Y10" s="271" t="n">
        <x:f>IFERROR((S10-Q10)/Q10,0)</x:f>
        <x:v>0</x:v>
      </x:c>
      <x:c r="Z10" s="272"/>
      <x:c r="AA10" s="272"/>
      <x:c r="AB10" s="272"/>
      <x:c r="AC10" s="272" t="str">
        <x:f>IF(A10="","",ROUND((Z10+AA10)*10+X10*100-AB10*8,1))</x:f>
      </x:c>
      <x:c r="AD10" s="269"/>
      <x:c r="AE10" s="270" t="n">
        <x:f>IF(T10="",0,(S10*(1-XLOOKUP(T10,'平台参数'!$A$5:$A$9,'平台参数'!$F$5:$F$9,0)-XLOOKUP(T10,'平台参数'!$A$5:$A$9,'平台参数'!$G$5:$G$9,0))-XLOOKUP(T10,'平台参数'!$A$5:$A$9,'平台参数'!$I$5:$I$9,0))/1.18)</x:f>
        <x:v>0</x:v>
      </x:c>
      <x:c r="AF10" s="273" t="str">
        <x:f>IF(A10="","",IFERROR(MAX(_xlfn._xlws.FILTER('实时行情'!$H$5:$H$124,'实时行情'!$A$5:$A$124=A10)),TODAY()))</x:f>
      </x:c>
      <x:c r="AG10" s="274"/>
    </x:row>
    <x:row r="11">
      <x:c r="A11" s="268"/>
      <x:c r="B11" s="269"/>
      <x:c r="C11" s="269"/>
      <x:c r="D11" s="269"/>
      <x:c r="E11" s="269"/>
      <x:c r="F11" s="269"/>
      <x:c r="G11" s="270" t="n">
        <x:f>SUMIFS('实时行情'!$D$5:$D$124,'实时行情'!$A$5:$A$124,$A11,'实时行情'!$C$5:$C$124,"eBay")</x:f>
        <x:v>0</x:v>
      </x:c>
      <x:c r="H11" s="270" t="n">
        <x:f>SUMIFS('实时行情'!$D$5:$D$124,'实时行情'!$A$5:$A$124,$A11,'实时行情'!$C$5:$C$124,"ALT")</x:f>
        <x:v>0</x:v>
      </x:c>
      <x:c r="I11" s="270" t="n">
        <x:f>SUMIFS('实时行情'!$D$5:$D$124,'实时行情'!$A$5:$A$124,$A11,'实时行情'!$C$5:$C$124,"Card Hobby")</x:f>
        <x:v>0</x:v>
      </x:c>
      <x:c r="J11" s="270" t="n">
        <x:f>SUMIFS('实时行情'!$D$5:$D$124,'实时行情'!$A$5:$A$124,$A11,'实时行情'!$C$5:$C$124,"Fanatics Collect")</x:f>
        <x:v>0</x:v>
      </x:c>
      <x:c r="K11" s="270" t="n">
        <x:f>SUMIFS('实时行情'!$D$5:$D$124,'实时行情'!$A$5:$A$124,$A11,'实时行情'!$C$5:$C$124,"PokerColor")</x:f>
        <x:v>0</x:v>
      </x:c>
      <x:c r="L11" s="270" t="n">
        <x:f>SUMIFS('实时行情'!$E$5:$E$124,'实时行情'!$A$5:$A$124,$A11,'实时行情'!$C$5:$C$124,"eBay")</x:f>
        <x:v>0</x:v>
      </x:c>
      <x:c r="M11" s="270" t="n">
        <x:f>SUMIFS('实时行情'!$E$5:$E$124,'实时行情'!$A$5:$A$124,$A11,'实时行情'!$C$5:$C$124,"ALT")</x:f>
        <x:v>0</x:v>
      </x:c>
      <x:c r="N11" s="270" t="n">
        <x:f>SUMIFS('实时行情'!$E$5:$E$124,'实时行情'!$A$5:$A$124,$A11,'实时行情'!$C$5:$C$124,"Card Hobby")</x:f>
        <x:v>0</x:v>
      </x:c>
      <x:c r="O11" s="270" t="n">
        <x:f>SUMIFS('实时行情'!$E$5:$E$124,'实时行情'!$A$5:$A$124,$A11,'实时行情'!$C$5:$C$124,"Fanatics Collect")</x:f>
        <x:v>0</x:v>
      </x:c>
      <x:c r="P11" s="270" t="n">
        <x:f>SUMIFS('实时行情'!$E$5:$E$124,'实时行情'!$A$5:$A$124,$A11,'实时行情'!$C$5:$C$124,"PokerColor")</x:f>
        <x:v>0</x:v>
      </x:c>
      <x:c r="Q11" s="270" t="n">
        <x:f>IFERROR(MIN(_xlfn._xlws.FILTER(G11:K11,G11:K11&gt;0)),0)</x:f>
        <x:v>0</x:v>
      </x:c>
      <x:c r="R11" s="270" t="str">
        <x:f>IF(Q11=0,"",SUBSTITUTE(SUBSTITUTE(INDEX($G$4:$K$4,1,MATCH(Q11,G11:K11,0)),"买价",""),"Fanatics","Fanatics Collect"))</x:f>
      </x:c>
      <x:c r="S11" s="270" t="n">
        <x:f>IFERROR(MAX(_xlfn._xlws.FILTER(L11:P11,L11:P11&gt;0)),0)</x:f>
        <x:v>0</x:v>
      </x:c>
      <x:c r="T11" s="270" t="str">
        <x:f>IF(S11=0,"",SUBSTITUTE(SUBSTITUTE(INDEX($L$4:$P$4,1,MATCH(S11,L11:P11,0)),"卖价",""),"Fanatics","Fanatics Collect"))</x:f>
      </x:c>
      <x:c r="U11" s="270" t="n">
        <x:f>IF(Q11=0,0,Q11*(1+XLOOKUP(R11,'平台参数'!$A$5:$A$9,'平台参数'!$E$5:$E$9,0)+XLOOKUP(R11,'平台参数'!$A$5:$A$9,'平台参数'!$G$5:$G$9,0))+XLOOKUP(R11,'平台参数'!$A$5:$A$9,'平台参数'!$H$5:$H$9,0))</x:f>
        <x:v>0</x:v>
      </x:c>
      <x:c r="V11" s="270" t="n">
        <x:f>IF(S11=0,0,S11*(1-XLOOKUP(T11,'平台参数'!$A$5:$A$9,'平台参数'!$F$5:$F$9,0)-XLOOKUP(T11,'平台参数'!$A$5:$A$9,'平台参数'!$G$5:$G$9,0))-XLOOKUP(T11,'平台参数'!$A$5:$A$9,'平台参数'!$I$5:$I$9,0))</x:f>
        <x:v>0</x:v>
      </x:c>
      <x:c r="W11" s="270" t="n">
        <x:f>V11-U11</x:f>
        <x:v>0</x:v>
      </x:c>
      <x:c r="X11" s="271" t="n">
        <x:f>IFERROR(W11/U11,0)</x:f>
        <x:v>0</x:v>
      </x:c>
      <x:c r="Y11" s="271" t="n">
        <x:f>IFERROR((S11-Q11)/Q11,0)</x:f>
        <x:v>0</x:v>
      </x:c>
      <x:c r="Z11" s="272"/>
      <x:c r="AA11" s="272"/>
      <x:c r="AB11" s="272"/>
      <x:c r="AC11" s="272" t="str">
        <x:f>IF(A11="","",ROUND((Z11+AA11)*10+X11*100-AB11*8,1))</x:f>
      </x:c>
      <x:c r="AD11" s="269"/>
      <x:c r="AE11" s="270" t="n">
        <x:f>IF(T11="",0,(S11*(1-XLOOKUP(T11,'平台参数'!$A$5:$A$9,'平台参数'!$F$5:$F$9,0)-XLOOKUP(T11,'平台参数'!$A$5:$A$9,'平台参数'!$G$5:$G$9,0))-XLOOKUP(T11,'平台参数'!$A$5:$A$9,'平台参数'!$I$5:$I$9,0))/1.18)</x:f>
        <x:v>0</x:v>
      </x:c>
      <x:c r="AF11" s="273" t="str">
        <x:f>IF(A11="","",IFERROR(MAX(_xlfn._xlws.FILTER('实时行情'!$H$5:$H$124,'实时行情'!$A$5:$A$124=A11)),TODAY()))</x:f>
      </x:c>
      <x:c r="AG11" s="274"/>
    </x:row>
    <x:row r="12">
      <x:c r="A12" s="268"/>
      <x:c r="B12" s="269"/>
      <x:c r="C12" s="269"/>
      <x:c r="D12" s="269"/>
      <x:c r="E12" s="269"/>
      <x:c r="F12" s="269"/>
      <x:c r="G12" s="270" t="n">
        <x:f>SUMIFS('实时行情'!$D$5:$D$124,'实时行情'!$A$5:$A$124,$A12,'实时行情'!$C$5:$C$124,"eBay")</x:f>
        <x:v>0</x:v>
      </x:c>
      <x:c r="H12" s="270" t="n">
        <x:f>SUMIFS('实时行情'!$D$5:$D$124,'实时行情'!$A$5:$A$124,$A12,'实时行情'!$C$5:$C$124,"ALT")</x:f>
        <x:v>0</x:v>
      </x:c>
      <x:c r="I12" s="270" t="n">
        <x:f>SUMIFS('实时行情'!$D$5:$D$124,'实时行情'!$A$5:$A$124,$A12,'实时行情'!$C$5:$C$124,"Card Hobby")</x:f>
        <x:v>0</x:v>
      </x:c>
      <x:c r="J12" s="270" t="n">
        <x:f>SUMIFS('实时行情'!$D$5:$D$124,'实时行情'!$A$5:$A$124,$A12,'实时行情'!$C$5:$C$124,"Fanatics Collect")</x:f>
        <x:v>0</x:v>
      </x:c>
      <x:c r="K12" s="270" t="n">
        <x:f>SUMIFS('实时行情'!$D$5:$D$124,'实时行情'!$A$5:$A$124,$A12,'实时行情'!$C$5:$C$124,"PokerColor")</x:f>
        <x:v>0</x:v>
      </x:c>
      <x:c r="L12" s="270" t="n">
        <x:f>SUMIFS('实时行情'!$E$5:$E$124,'实时行情'!$A$5:$A$124,$A12,'实时行情'!$C$5:$C$124,"eBay")</x:f>
        <x:v>0</x:v>
      </x:c>
      <x:c r="M12" s="270" t="n">
        <x:f>SUMIFS('实时行情'!$E$5:$E$124,'实时行情'!$A$5:$A$124,$A12,'实时行情'!$C$5:$C$124,"ALT")</x:f>
        <x:v>0</x:v>
      </x:c>
      <x:c r="N12" s="270" t="n">
        <x:f>SUMIFS('实时行情'!$E$5:$E$124,'实时行情'!$A$5:$A$124,$A12,'实时行情'!$C$5:$C$124,"Card Hobby")</x:f>
        <x:v>0</x:v>
      </x:c>
      <x:c r="O12" s="270" t="n">
        <x:f>SUMIFS('实时行情'!$E$5:$E$124,'实时行情'!$A$5:$A$124,$A12,'实时行情'!$C$5:$C$124,"Fanatics Collect")</x:f>
        <x:v>0</x:v>
      </x:c>
      <x:c r="P12" s="270" t="n">
        <x:f>SUMIFS('实时行情'!$E$5:$E$124,'实时行情'!$A$5:$A$124,$A12,'实时行情'!$C$5:$C$124,"PokerColor")</x:f>
        <x:v>0</x:v>
      </x:c>
      <x:c r="Q12" s="270" t="n">
        <x:f>IFERROR(MIN(_xlfn._xlws.FILTER(G12:K12,G12:K12&gt;0)),0)</x:f>
        <x:v>0</x:v>
      </x:c>
      <x:c r="R12" s="270" t="str">
        <x:f>IF(Q12=0,"",SUBSTITUTE(SUBSTITUTE(INDEX($G$4:$K$4,1,MATCH(Q12,G12:K12,0)),"买价",""),"Fanatics","Fanatics Collect"))</x:f>
      </x:c>
      <x:c r="S12" s="270" t="n">
        <x:f>IFERROR(MAX(_xlfn._xlws.FILTER(L12:P12,L12:P12&gt;0)),0)</x:f>
        <x:v>0</x:v>
      </x:c>
      <x:c r="T12" s="270" t="str">
        <x:f>IF(S12=0,"",SUBSTITUTE(SUBSTITUTE(INDEX($L$4:$P$4,1,MATCH(S12,L12:P12,0)),"卖价",""),"Fanatics","Fanatics Collect"))</x:f>
      </x:c>
      <x:c r="U12" s="270" t="n">
        <x:f>IF(Q12=0,0,Q12*(1+XLOOKUP(R12,'平台参数'!$A$5:$A$9,'平台参数'!$E$5:$E$9,0)+XLOOKUP(R12,'平台参数'!$A$5:$A$9,'平台参数'!$G$5:$G$9,0))+XLOOKUP(R12,'平台参数'!$A$5:$A$9,'平台参数'!$H$5:$H$9,0))</x:f>
        <x:v>0</x:v>
      </x:c>
      <x:c r="V12" s="270" t="n">
        <x:f>IF(S12=0,0,S12*(1-XLOOKUP(T12,'平台参数'!$A$5:$A$9,'平台参数'!$F$5:$F$9,0)-XLOOKUP(T12,'平台参数'!$A$5:$A$9,'平台参数'!$G$5:$G$9,0))-XLOOKUP(T12,'平台参数'!$A$5:$A$9,'平台参数'!$I$5:$I$9,0))</x:f>
        <x:v>0</x:v>
      </x:c>
      <x:c r="W12" s="270" t="n">
        <x:f>V12-U12</x:f>
        <x:v>0</x:v>
      </x:c>
      <x:c r="X12" s="271" t="n">
        <x:f>IFERROR(W12/U12,0)</x:f>
        <x:v>0</x:v>
      </x:c>
      <x:c r="Y12" s="271" t="n">
        <x:f>IFERROR((S12-Q12)/Q12,0)</x:f>
        <x:v>0</x:v>
      </x:c>
      <x:c r="Z12" s="272"/>
      <x:c r="AA12" s="272"/>
      <x:c r="AB12" s="272"/>
      <x:c r="AC12" s="272" t="str">
        <x:f>IF(A12="","",ROUND((Z12+AA12)*10+X12*100-AB12*8,1))</x:f>
      </x:c>
      <x:c r="AD12" s="269"/>
      <x:c r="AE12" s="270" t="n">
        <x:f>IF(T12="",0,(S12*(1-XLOOKUP(T12,'平台参数'!$A$5:$A$9,'平台参数'!$F$5:$F$9,0)-XLOOKUP(T12,'平台参数'!$A$5:$A$9,'平台参数'!$G$5:$G$9,0))-XLOOKUP(T12,'平台参数'!$A$5:$A$9,'平台参数'!$I$5:$I$9,0))/1.18)</x:f>
        <x:v>0</x:v>
      </x:c>
      <x:c r="AF12" s="273" t="str">
        <x:f>IF(A12="","",IFERROR(MAX(_xlfn._xlws.FILTER('实时行情'!$H$5:$H$124,'实时行情'!$A$5:$A$124=A12)),TODAY()))</x:f>
      </x:c>
      <x:c r="AG12" s="274"/>
    </x:row>
    <x:row r="13">
      <x:c r="A13" s="268"/>
      <x:c r="B13" s="269"/>
      <x:c r="C13" s="269"/>
      <x:c r="D13" s="269"/>
      <x:c r="E13" s="269"/>
      <x:c r="F13" s="269"/>
      <x:c r="G13" s="270" t="n">
        <x:f>SUMIFS('实时行情'!$D$5:$D$124,'实时行情'!$A$5:$A$124,$A13,'实时行情'!$C$5:$C$124,"eBay")</x:f>
        <x:v>0</x:v>
      </x:c>
      <x:c r="H13" s="270" t="n">
        <x:f>SUMIFS('实时行情'!$D$5:$D$124,'实时行情'!$A$5:$A$124,$A13,'实时行情'!$C$5:$C$124,"ALT")</x:f>
        <x:v>0</x:v>
      </x:c>
      <x:c r="I13" s="270" t="n">
        <x:f>SUMIFS('实时行情'!$D$5:$D$124,'实时行情'!$A$5:$A$124,$A13,'实时行情'!$C$5:$C$124,"Card Hobby")</x:f>
        <x:v>0</x:v>
      </x:c>
      <x:c r="J13" s="270" t="n">
        <x:f>SUMIFS('实时行情'!$D$5:$D$124,'实时行情'!$A$5:$A$124,$A13,'实时行情'!$C$5:$C$124,"Fanatics Collect")</x:f>
        <x:v>0</x:v>
      </x:c>
      <x:c r="K13" s="270" t="n">
        <x:f>SUMIFS('实时行情'!$D$5:$D$124,'实时行情'!$A$5:$A$124,$A13,'实时行情'!$C$5:$C$124,"PokerColor")</x:f>
        <x:v>0</x:v>
      </x:c>
      <x:c r="L13" s="270" t="n">
        <x:f>SUMIFS('实时行情'!$E$5:$E$124,'实时行情'!$A$5:$A$124,$A13,'实时行情'!$C$5:$C$124,"eBay")</x:f>
        <x:v>0</x:v>
      </x:c>
      <x:c r="M13" s="270" t="n">
        <x:f>SUMIFS('实时行情'!$E$5:$E$124,'实时行情'!$A$5:$A$124,$A13,'实时行情'!$C$5:$C$124,"ALT")</x:f>
        <x:v>0</x:v>
      </x:c>
      <x:c r="N13" s="270" t="n">
        <x:f>SUMIFS('实时行情'!$E$5:$E$124,'实时行情'!$A$5:$A$124,$A13,'实时行情'!$C$5:$C$124,"Card Hobby")</x:f>
        <x:v>0</x:v>
      </x:c>
      <x:c r="O13" s="270" t="n">
        <x:f>SUMIFS('实时行情'!$E$5:$E$124,'实时行情'!$A$5:$A$124,$A13,'实时行情'!$C$5:$C$124,"Fanatics Collect")</x:f>
        <x:v>0</x:v>
      </x:c>
      <x:c r="P13" s="270" t="n">
        <x:f>SUMIFS('实时行情'!$E$5:$E$124,'实时行情'!$A$5:$A$124,$A13,'实时行情'!$C$5:$C$124,"PokerColor")</x:f>
        <x:v>0</x:v>
      </x:c>
      <x:c r="Q13" s="270" t="n">
        <x:f>IFERROR(MIN(_xlfn._xlws.FILTER(G13:K13,G13:K13&gt;0)),0)</x:f>
        <x:v>0</x:v>
      </x:c>
      <x:c r="R13" s="270" t="str">
        <x:f>IF(Q13=0,"",SUBSTITUTE(SUBSTITUTE(INDEX($G$4:$K$4,1,MATCH(Q13,G13:K13,0)),"买价",""),"Fanatics","Fanatics Collect"))</x:f>
      </x:c>
      <x:c r="S13" s="270" t="n">
        <x:f>IFERROR(MAX(_xlfn._xlws.FILTER(L13:P13,L13:P13&gt;0)),0)</x:f>
        <x:v>0</x:v>
      </x:c>
      <x:c r="T13" s="270" t="str">
        <x:f>IF(S13=0,"",SUBSTITUTE(SUBSTITUTE(INDEX($L$4:$P$4,1,MATCH(S13,L13:P13,0)),"卖价",""),"Fanatics","Fanatics Collect"))</x:f>
      </x:c>
      <x:c r="U13" s="270" t="n">
        <x:f>IF(Q13=0,0,Q13*(1+XLOOKUP(R13,'平台参数'!$A$5:$A$9,'平台参数'!$E$5:$E$9,0)+XLOOKUP(R13,'平台参数'!$A$5:$A$9,'平台参数'!$G$5:$G$9,0))+XLOOKUP(R13,'平台参数'!$A$5:$A$9,'平台参数'!$H$5:$H$9,0))</x:f>
        <x:v>0</x:v>
      </x:c>
      <x:c r="V13" s="270" t="n">
        <x:f>IF(S13=0,0,S13*(1-XLOOKUP(T13,'平台参数'!$A$5:$A$9,'平台参数'!$F$5:$F$9,0)-XLOOKUP(T13,'平台参数'!$A$5:$A$9,'平台参数'!$G$5:$G$9,0))-XLOOKUP(T13,'平台参数'!$A$5:$A$9,'平台参数'!$I$5:$I$9,0))</x:f>
        <x:v>0</x:v>
      </x:c>
      <x:c r="W13" s="270" t="n">
        <x:f>V13-U13</x:f>
        <x:v>0</x:v>
      </x:c>
      <x:c r="X13" s="271" t="n">
        <x:f>IFERROR(W13/U13,0)</x:f>
        <x:v>0</x:v>
      </x:c>
      <x:c r="Y13" s="271" t="n">
        <x:f>IFERROR((S13-Q13)/Q13,0)</x:f>
        <x:v>0</x:v>
      </x:c>
      <x:c r="Z13" s="272"/>
      <x:c r="AA13" s="272"/>
      <x:c r="AB13" s="272"/>
      <x:c r="AC13" s="272" t="str">
        <x:f>IF(A13="","",ROUND((Z13+AA13)*10+X13*100-AB13*8,1))</x:f>
      </x:c>
      <x:c r="AD13" s="269"/>
      <x:c r="AE13" s="270" t="n">
        <x:f>IF(T13="",0,(S13*(1-XLOOKUP(T13,'平台参数'!$A$5:$A$9,'平台参数'!$F$5:$F$9,0)-XLOOKUP(T13,'平台参数'!$A$5:$A$9,'平台参数'!$G$5:$G$9,0))-XLOOKUP(T13,'平台参数'!$A$5:$A$9,'平台参数'!$I$5:$I$9,0))/1.18)</x:f>
        <x:v>0</x:v>
      </x:c>
      <x:c r="AF13" s="273" t="str">
        <x:f>IF(A13="","",IFERROR(MAX(_xlfn._xlws.FILTER('实时行情'!$H$5:$H$124,'实时行情'!$A$5:$A$124=A13)),TODAY()))</x:f>
      </x:c>
      <x:c r="AG13" s="274"/>
    </x:row>
    <x:row r="14">
      <x:c r="A14" s="268"/>
      <x:c r="B14" s="269"/>
      <x:c r="C14" s="269"/>
      <x:c r="D14" s="269"/>
      <x:c r="E14" s="269"/>
      <x:c r="F14" s="269"/>
      <x:c r="G14" s="270" t="n">
        <x:f>SUMIFS('实时行情'!$D$5:$D$124,'实时行情'!$A$5:$A$124,$A14,'实时行情'!$C$5:$C$124,"eBay")</x:f>
        <x:v>0</x:v>
      </x:c>
      <x:c r="H14" s="270" t="n">
        <x:f>SUMIFS('实时行情'!$D$5:$D$124,'实时行情'!$A$5:$A$124,$A14,'实时行情'!$C$5:$C$124,"ALT")</x:f>
        <x:v>0</x:v>
      </x:c>
      <x:c r="I14" s="270" t="n">
        <x:f>SUMIFS('实时行情'!$D$5:$D$124,'实时行情'!$A$5:$A$124,$A14,'实时行情'!$C$5:$C$124,"Card Hobby")</x:f>
        <x:v>0</x:v>
      </x:c>
      <x:c r="J14" s="270" t="n">
        <x:f>SUMIFS('实时行情'!$D$5:$D$124,'实时行情'!$A$5:$A$124,$A14,'实时行情'!$C$5:$C$124,"Fanatics Collect")</x:f>
        <x:v>0</x:v>
      </x:c>
      <x:c r="K14" s="270" t="n">
        <x:f>SUMIFS('实时行情'!$D$5:$D$124,'实时行情'!$A$5:$A$124,$A14,'实时行情'!$C$5:$C$124,"PokerColor")</x:f>
        <x:v>0</x:v>
      </x:c>
      <x:c r="L14" s="270" t="n">
        <x:f>SUMIFS('实时行情'!$E$5:$E$124,'实时行情'!$A$5:$A$124,$A14,'实时行情'!$C$5:$C$124,"eBay")</x:f>
        <x:v>0</x:v>
      </x:c>
      <x:c r="M14" s="270" t="n">
        <x:f>SUMIFS('实时行情'!$E$5:$E$124,'实时行情'!$A$5:$A$124,$A14,'实时行情'!$C$5:$C$124,"ALT")</x:f>
        <x:v>0</x:v>
      </x:c>
      <x:c r="N14" s="270" t="n">
        <x:f>SUMIFS('实时行情'!$E$5:$E$124,'实时行情'!$A$5:$A$124,$A14,'实时行情'!$C$5:$C$124,"Card Hobby")</x:f>
        <x:v>0</x:v>
      </x:c>
      <x:c r="O14" s="270" t="n">
        <x:f>SUMIFS('实时行情'!$E$5:$E$124,'实时行情'!$A$5:$A$124,$A14,'实时行情'!$C$5:$C$124,"Fanatics Collect")</x:f>
        <x:v>0</x:v>
      </x:c>
      <x:c r="P14" s="270" t="n">
        <x:f>SUMIFS('实时行情'!$E$5:$E$124,'实时行情'!$A$5:$A$124,$A14,'实时行情'!$C$5:$C$124,"PokerColor")</x:f>
        <x:v>0</x:v>
      </x:c>
      <x:c r="Q14" s="270" t="n">
        <x:f>IFERROR(MIN(_xlfn._xlws.FILTER(G14:K14,G14:K14&gt;0)),0)</x:f>
        <x:v>0</x:v>
      </x:c>
      <x:c r="R14" s="270" t="str">
        <x:f>IF(Q14=0,"",SUBSTITUTE(SUBSTITUTE(INDEX($G$4:$K$4,1,MATCH(Q14,G14:K14,0)),"买价",""),"Fanatics","Fanatics Collect"))</x:f>
      </x:c>
      <x:c r="S14" s="270" t="n">
        <x:f>IFERROR(MAX(_xlfn._xlws.FILTER(L14:P14,L14:P14&gt;0)),0)</x:f>
        <x:v>0</x:v>
      </x:c>
      <x:c r="T14" s="270" t="str">
        <x:f>IF(S14=0,"",SUBSTITUTE(SUBSTITUTE(INDEX($L$4:$P$4,1,MATCH(S14,L14:P14,0)),"卖价",""),"Fanatics","Fanatics Collect"))</x:f>
      </x:c>
      <x:c r="U14" s="270" t="n">
        <x:f>IF(Q14=0,0,Q14*(1+XLOOKUP(R14,'平台参数'!$A$5:$A$9,'平台参数'!$E$5:$E$9,0)+XLOOKUP(R14,'平台参数'!$A$5:$A$9,'平台参数'!$G$5:$G$9,0))+XLOOKUP(R14,'平台参数'!$A$5:$A$9,'平台参数'!$H$5:$H$9,0))</x:f>
        <x:v>0</x:v>
      </x:c>
      <x:c r="V14" s="270" t="n">
        <x:f>IF(S14=0,0,S14*(1-XLOOKUP(T14,'平台参数'!$A$5:$A$9,'平台参数'!$F$5:$F$9,0)-XLOOKUP(T14,'平台参数'!$A$5:$A$9,'平台参数'!$G$5:$G$9,0))-XLOOKUP(T14,'平台参数'!$A$5:$A$9,'平台参数'!$I$5:$I$9,0))</x:f>
        <x:v>0</x:v>
      </x:c>
      <x:c r="W14" s="270" t="n">
        <x:f>V14-U14</x:f>
        <x:v>0</x:v>
      </x:c>
      <x:c r="X14" s="271" t="n">
        <x:f>IFERROR(W14/U14,0)</x:f>
        <x:v>0</x:v>
      </x:c>
      <x:c r="Y14" s="271" t="n">
        <x:f>IFERROR((S14-Q14)/Q14,0)</x:f>
        <x:v>0</x:v>
      </x:c>
      <x:c r="Z14" s="272"/>
      <x:c r="AA14" s="272"/>
      <x:c r="AB14" s="272"/>
      <x:c r="AC14" s="272" t="str">
        <x:f>IF(A14="","",ROUND((Z14+AA14)*10+X14*100-AB14*8,1))</x:f>
      </x:c>
      <x:c r="AD14" s="269"/>
      <x:c r="AE14" s="270" t="n">
        <x:f>IF(T14="",0,(S14*(1-XLOOKUP(T14,'平台参数'!$A$5:$A$9,'平台参数'!$F$5:$F$9,0)-XLOOKUP(T14,'平台参数'!$A$5:$A$9,'平台参数'!$G$5:$G$9,0))-XLOOKUP(T14,'平台参数'!$A$5:$A$9,'平台参数'!$I$5:$I$9,0))/1.18)</x:f>
        <x:v>0</x:v>
      </x:c>
      <x:c r="AF14" s="273" t="str">
        <x:f>IF(A14="","",IFERROR(MAX(_xlfn._xlws.FILTER('实时行情'!$H$5:$H$124,'实时行情'!$A$5:$A$124=A14)),TODAY()))</x:f>
      </x:c>
      <x:c r="AG14" s="274"/>
    </x:row>
    <x:row r="15">
      <x:c r="A15" s="268"/>
      <x:c r="B15" s="269"/>
      <x:c r="C15" s="269"/>
      <x:c r="D15" s="269"/>
      <x:c r="E15" s="269"/>
      <x:c r="F15" s="269"/>
      <x:c r="G15" s="270" t="n">
        <x:f>SUMIFS('实时行情'!$D$5:$D$124,'实时行情'!$A$5:$A$124,$A15,'实时行情'!$C$5:$C$124,"eBay")</x:f>
        <x:v>0</x:v>
      </x:c>
      <x:c r="H15" s="270" t="n">
        <x:f>SUMIFS('实时行情'!$D$5:$D$124,'实时行情'!$A$5:$A$124,$A15,'实时行情'!$C$5:$C$124,"ALT")</x:f>
        <x:v>0</x:v>
      </x:c>
      <x:c r="I15" s="270" t="n">
        <x:f>SUMIFS('实时行情'!$D$5:$D$124,'实时行情'!$A$5:$A$124,$A15,'实时行情'!$C$5:$C$124,"Card Hobby")</x:f>
        <x:v>0</x:v>
      </x:c>
      <x:c r="J15" s="270" t="n">
        <x:f>SUMIFS('实时行情'!$D$5:$D$124,'实时行情'!$A$5:$A$124,$A15,'实时行情'!$C$5:$C$124,"Fanatics Collect")</x:f>
        <x:v>0</x:v>
      </x:c>
      <x:c r="K15" s="270" t="n">
        <x:f>SUMIFS('实时行情'!$D$5:$D$124,'实时行情'!$A$5:$A$124,$A15,'实时行情'!$C$5:$C$124,"PokerColor")</x:f>
        <x:v>0</x:v>
      </x:c>
      <x:c r="L15" s="270" t="n">
        <x:f>SUMIFS('实时行情'!$E$5:$E$124,'实时行情'!$A$5:$A$124,$A15,'实时行情'!$C$5:$C$124,"eBay")</x:f>
        <x:v>0</x:v>
      </x:c>
      <x:c r="M15" s="270" t="n">
        <x:f>SUMIFS('实时行情'!$E$5:$E$124,'实时行情'!$A$5:$A$124,$A15,'实时行情'!$C$5:$C$124,"ALT")</x:f>
        <x:v>0</x:v>
      </x:c>
      <x:c r="N15" s="270" t="n">
        <x:f>SUMIFS('实时行情'!$E$5:$E$124,'实时行情'!$A$5:$A$124,$A15,'实时行情'!$C$5:$C$124,"Card Hobby")</x:f>
        <x:v>0</x:v>
      </x:c>
      <x:c r="O15" s="270" t="n">
        <x:f>SUMIFS('实时行情'!$E$5:$E$124,'实时行情'!$A$5:$A$124,$A15,'实时行情'!$C$5:$C$124,"Fanatics Collect")</x:f>
        <x:v>0</x:v>
      </x:c>
      <x:c r="P15" s="270" t="n">
        <x:f>SUMIFS('实时行情'!$E$5:$E$124,'实时行情'!$A$5:$A$124,$A15,'实时行情'!$C$5:$C$124,"PokerColor")</x:f>
        <x:v>0</x:v>
      </x:c>
      <x:c r="Q15" s="270" t="n">
        <x:f>IFERROR(MIN(_xlfn._xlws.FILTER(G15:K15,G15:K15&gt;0)),0)</x:f>
        <x:v>0</x:v>
      </x:c>
      <x:c r="R15" s="270" t="str">
        <x:f>IF(Q15=0,"",SUBSTITUTE(SUBSTITUTE(INDEX($G$4:$K$4,1,MATCH(Q15,G15:K15,0)),"买价",""),"Fanatics","Fanatics Collect"))</x:f>
      </x:c>
      <x:c r="S15" s="270" t="n">
        <x:f>IFERROR(MAX(_xlfn._xlws.FILTER(L15:P15,L15:P15&gt;0)),0)</x:f>
        <x:v>0</x:v>
      </x:c>
      <x:c r="T15" s="270" t="str">
        <x:f>IF(S15=0,"",SUBSTITUTE(SUBSTITUTE(INDEX($L$4:$P$4,1,MATCH(S15,L15:P15,0)),"卖价",""),"Fanatics","Fanatics Collect"))</x:f>
      </x:c>
      <x:c r="U15" s="270" t="n">
        <x:f>IF(Q15=0,0,Q15*(1+XLOOKUP(R15,'平台参数'!$A$5:$A$9,'平台参数'!$E$5:$E$9,0)+XLOOKUP(R15,'平台参数'!$A$5:$A$9,'平台参数'!$G$5:$G$9,0))+XLOOKUP(R15,'平台参数'!$A$5:$A$9,'平台参数'!$H$5:$H$9,0))</x:f>
        <x:v>0</x:v>
      </x:c>
      <x:c r="V15" s="270" t="n">
        <x:f>IF(S15=0,0,S15*(1-XLOOKUP(T15,'平台参数'!$A$5:$A$9,'平台参数'!$F$5:$F$9,0)-XLOOKUP(T15,'平台参数'!$A$5:$A$9,'平台参数'!$G$5:$G$9,0))-XLOOKUP(T15,'平台参数'!$A$5:$A$9,'平台参数'!$I$5:$I$9,0))</x:f>
        <x:v>0</x:v>
      </x:c>
      <x:c r="W15" s="270" t="n">
        <x:f>V15-U15</x:f>
        <x:v>0</x:v>
      </x:c>
      <x:c r="X15" s="271" t="n">
        <x:f>IFERROR(W15/U15,0)</x:f>
        <x:v>0</x:v>
      </x:c>
      <x:c r="Y15" s="271" t="n">
        <x:f>IFERROR((S15-Q15)/Q15,0)</x:f>
        <x:v>0</x:v>
      </x:c>
      <x:c r="Z15" s="272"/>
      <x:c r="AA15" s="272"/>
      <x:c r="AB15" s="272"/>
      <x:c r="AC15" s="272" t="str">
        <x:f>IF(A15="","",ROUND((Z15+AA15)*10+X15*100-AB15*8,1))</x:f>
      </x:c>
      <x:c r="AD15" s="269"/>
      <x:c r="AE15" s="270" t="n">
        <x:f>IF(T15="",0,(S15*(1-XLOOKUP(T15,'平台参数'!$A$5:$A$9,'平台参数'!$F$5:$F$9,0)-XLOOKUP(T15,'平台参数'!$A$5:$A$9,'平台参数'!$G$5:$G$9,0))-XLOOKUP(T15,'平台参数'!$A$5:$A$9,'平台参数'!$I$5:$I$9,0))/1.18)</x:f>
        <x:v>0</x:v>
      </x:c>
      <x:c r="AF15" s="273" t="str">
        <x:f>IF(A15="","",IFERROR(MAX(_xlfn._xlws.FILTER('实时行情'!$H$5:$H$124,'实时行情'!$A$5:$A$124=A15)),TODAY()))</x:f>
      </x:c>
      <x:c r="AG15" s="274"/>
    </x:row>
    <x:row r="16">
      <x:c r="A16" s="268"/>
      <x:c r="B16" s="269"/>
      <x:c r="C16" s="269"/>
      <x:c r="D16" s="269"/>
      <x:c r="E16" s="269"/>
      <x:c r="F16" s="269"/>
      <x:c r="G16" s="270" t="n">
        <x:f>SUMIFS('实时行情'!$D$5:$D$124,'实时行情'!$A$5:$A$124,$A16,'实时行情'!$C$5:$C$124,"eBay")</x:f>
        <x:v>0</x:v>
      </x:c>
      <x:c r="H16" s="270" t="n">
        <x:f>SUMIFS('实时行情'!$D$5:$D$124,'实时行情'!$A$5:$A$124,$A16,'实时行情'!$C$5:$C$124,"ALT")</x:f>
        <x:v>0</x:v>
      </x:c>
      <x:c r="I16" s="270" t="n">
        <x:f>SUMIFS('实时行情'!$D$5:$D$124,'实时行情'!$A$5:$A$124,$A16,'实时行情'!$C$5:$C$124,"Card Hobby")</x:f>
        <x:v>0</x:v>
      </x:c>
      <x:c r="J16" s="270" t="n">
        <x:f>SUMIFS('实时行情'!$D$5:$D$124,'实时行情'!$A$5:$A$124,$A16,'实时行情'!$C$5:$C$124,"Fanatics Collect")</x:f>
        <x:v>0</x:v>
      </x:c>
      <x:c r="K16" s="270" t="n">
        <x:f>SUMIFS('实时行情'!$D$5:$D$124,'实时行情'!$A$5:$A$124,$A16,'实时行情'!$C$5:$C$124,"PokerColor")</x:f>
        <x:v>0</x:v>
      </x:c>
      <x:c r="L16" s="270" t="n">
        <x:f>SUMIFS('实时行情'!$E$5:$E$124,'实时行情'!$A$5:$A$124,$A16,'实时行情'!$C$5:$C$124,"eBay")</x:f>
        <x:v>0</x:v>
      </x:c>
      <x:c r="M16" s="270" t="n">
        <x:f>SUMIFS('实时行情'!$E$5:$E$124,'实时行情'!$A$5:$A$124,$A16,'实时行情'!$C$5:$C$124,"ALT")</x:f>
        <x:v>0</x:v>
      </x:c>
      <x:c r="N16" s="270" t="n">
        <x:f>SUMIFS('实时行情'!$E$5:$E$124,'实时行情'!$A$5:$A$124,$A16,'实时行情'!$C$5:$C$124,"Card Hobby")</x:f>
        <x:v>0</x:v>
      </x:c>
      <x:c r="O16" s="270" t="n">
        <x:f>SUMIFS('实时行情'!$E$5:$E$124,'实时行情'!$A$5:$A$124,$A16,'实时行情'!$C$5:$C$124,"Fanatics Collect")</x:f>
        <x:v>0</x:v>
      </x:c>
      <x:c r="P16" s="270" t="n">
        <x:f>SUMIFS('实时行情'!$E$5:$E$124,'实时行情'!$A$5:$A$124,$A16,'实时行情'!$C$5:$C$124,"PokerColor")</x:f>
        <x:v>0</x:v>
      </x:c>
      <x:c r="Q16" s="270" t="n">
        <x:f>IFERROR(MIN(_xlfn._xlws.FILTER(G16:K16,G16:K16&gt;0)),0)</x:f>
        <x:v>0</x:v>
      </x:c>
      <x:c r="R16" s="270" t="str">
        <x:f>IF(Q16=0,"",SUBSTITUTE(SUBSTITUTE(INDEX($G$4:$K$4,1,MATCH(Q16,G16:K16,0)),"买价",""),"Fanatics","Fanatics Collect"))</x:f>
      </x:c>
      <x:c r="S16" s="270" t="n">
        <x:f>IFERROR(MAX(_xlfn._xlws.FILTER(L16:P16,L16:P16&gt;0)),0)</x:f>
        <x:v>0</x:v>
      </x:c>
      <x:c r="T16" s="270" t="str">
        <x:f>IF(S16=0,"",SUBSTITUTE(SUBSTITUTE(INDEX($L$4:$P$4,1,MATCH(S16,L16:P16,0)),"卖价",""),"Fanatics","Fanatics Collect"))</x:f>
      </x:c>
      <x:c r="U16" s="270" t="n">
        <x:f>IF(Q16=0,0,Q16*(1+XLOOKUP(R16,'平台参数'!$A$5:$A$9,'平台参数'!$E$5:$E$9,0)+XLOOKUP(R16,'平台参数'!$A$5:$A$9,'平台参数'!$G$5:$G$9,0))+XLOOKUP(R16,'平台参数'!$A$5:$A$9,'平台参数'!$H$5:$H$9,0))</x:f>
        <x:v>0</x:v>
      </x:c>
      <x:c r="V16" s="270" t="n">
        <x:f>IF(S16=0,0,S16*(1-XLOOKUP(T16,'平台参数'!$A$5:$A$9,'平台参数'!$F$5:$F$9,0)-XLOOKUP(T16,'平台参数'!$A$5:$A$9,'平台参数'!$G$5:$G$9,0))-XLOOKUP(T16,'平台参数'!$A$5:$A$9,'平台参数'!$I$5:$I$9,0))</x:f>
        <x:v>0</x:v>
      </x:c>
      <x:c r="W16" s="270" t="n">
        <x:f>V16-U16</x:f>
        <x:v>0</x:v>
      </x:c>
      <x:c r="X16" s="271" t="n">
        <x:f>IFERROR(W16/U16,0)</x:f>
        <x:v>0</x:v>
      </x:c>
      <x:c r="Y16" s="271" t="n">
        <x:f>IFERROR((S16-Q16)/Q16,0)</x:f>
        <x:v>0</x:v>
      </x:c>
      <x:c r="Z16" s="272"/>
      <x:c r="AA16" s="272"/>
      <x:c r="AB16" s="272"/>
      <x:c r="AC16" s="272" t="str">
        <x:f>IF(A16="","",ROUND((Z16+AA16)*10+X16*100-AB16*8,1))</x:f>
      </x:c>
      <x:c r="AD16" s="269"/>
      <x:c r="AE16" s="270" t="n">
        <x:f>IF(T16="",0,(S16*(1-XLOOKUP(T16,'平台参数'!$A$5:$A$9,'平台参数'!$F$5:$F$9,0)-XLOOKUP(T16,'平台参数'!$A$5:$A$9,'平台参数'!$G$5:$G$9,0))-XLOOKUP(T16,'平台参数'!$A$5:$A$9,'平台参数'!$I$5:$I$9,0))/1.18)</x:f>
        <x:v>0</x:v>
      </x:c>
      <x:c r="AF16" s="273" t="str">
        <x:f>IF(A16="","",IFERROR(MAX(_xlfn._xlws.FILTER('实时行情'!$H$5:$H$124,'实时行情'!$A$5:$A$124=A16)),TODAY()))</x:f>
      </x:c>
      <x:c r="AG16" s="274"/>
    </x:row>
    <x:row r="17">
      <x:c r="A17" s="268"/>
      <x:c r="B17" s="269"/>
      <x:c r="C17" s="269"/>
      <x:c r="D17" s="269"/>
      <x:c r="E17" s="269"/>
      <x:c r="F17" s="269"/>
      <x:c r="G17" s="270" t="n">
        <x:f>SUMIFS('实时行情'!$D$5:$D$124,'实时行情'!$A$5:$A$124,$A17,'实时行情'!$C$5:$C$124,"eBay")</x:f>
        <x:v>0</x:v>
      </x:c>
      <x:c r="H17" s="270" t="n">
        <x:f>SUMIFS('实时行情'!$D$5:$D$124,'实时行情'!$A$5:$A$124,$A17,'实时行情'!$C$5:$C$124,"ALT")</x:f>
        <x:v>0</x:v>
      </x:c>
      <x:c r="I17" s="270" t="n">
        <x:f>SUMIFS('实时行情'!$D$5:$D$124,'实时行情'!$A$5:$A$124,$A17,'实时行情'!$C$5:$C$124,"Card Hobby")</x:f>
        <x:v>0</x:v>
      </x:c>
      <x:c r="J17" s="270" t="n">
        <x:f>SUMIFS('实时行情'!$D$5:$D$124,'实时行情'!$A$5:$A$124,$A17,'实时行情'!$C$5:$C$124,"Fanatics Collect")</x:f>
        <x:v>0</x:v>
      </x:c>
      <x:c r="K17" s="270" t="n">
        <x:f>SUMIFS('实时行情'!$D$5:$D$124,'实时行情'!$A$5:$A$124,$A17,'实时行情'!$C$5:$C$124,"PokerColor")</x:f>
        <x:v>0</x:v>
      </x:c>
      <x:c r="L17" s="270" t="n">
        <x:f>SUMIFS('实时行情'!$E$5:$E$124,'实时行情'!$A$5:$A$124,$A17,'实时行情'!$C$5:$C$124,"eBay")</x:f>
        <x:v>0</x:v>
      </x:c>
      <x:c r="M17" s="270" t="n">
        <x:f>SUMIFS('实时行情'!$E$5:$E$124,'实时行情'!$A$5:$A$124,$A17,'实时行情'!$C$5:$C$124,"ALT")</x:f>
        <x:v>0</x:v>
      </x:c>
      <x:c r="N17" s="270" t="n">
        <x:f>SUMIFS('实时行情'!$E$5:$E$124,'实时行情'!$A$5:$A$124,$A17,'实时行情'!$C$5:$C$124,"Card Hobby")</x:f>
        <x:v>0</x:v>
      </x:c>
      <x:c r="O17" s="270" t="n">
        <x:f>SUMIFS('实时行情'!$E$5:$E$124,'实时行情'!$A$5:$A$124,$A17,'实时行情'!$C$5:$C$124,"Fanatics Collect")</x:f>
        <x:v>0</x:v>
      </x:c>
      <x:c r="P17" s="270" t="n">
        <x:f>SUMIFS('实时行情'!$E$5:$E$124,'实时行情'!$A$5:$A$124,$A17,'实时行情'!$C$5:$C$124,"PokerColor")</x:f>
        <x:v>0</x:v>
      </x:c>
      <x:c r="Q17" s="270" t="n">
        <x:f>IFERROR(MIN(_xlfn._xlws.FILTER(G17:K17,G17:K17&gt;0)),0)</x:f>
        <x:v>0</x:v>
      </x:c>
      <x:c r="R17" s="270" t="str">
        <x:f>IF(Q17=0,"",SUBSTITUTE(SUBSTITUTE(INDEX($G$4:$K$4,1,MATCH(Q17,G17:K17,0)),"买价",""),"Fanatics","Fanatics Collect"))</x:f>
      </x:c>
      <x:c r="S17" s="270" t="n">
        <x:f>IFERROR(MAX(_xlfn._xlws.FILTER(L17:P17,L17:P17&gt;0)),0)</x:f>
        <x:v>0</x:v>
      </x:c>
      <x:c r="T17" s="270" t="str">
        <x:f>IF(S17=0,"",SUBSTITUTE(SUBSTITUTE(INDEX($L$4:$P$4,1,MATCH(S17,L17:P17,0)),"卖价",""),"Fanatics","Fanatics Collect"))</x:f>
      </x:c>
      <x:c r="U17" s="270" t="n">
        <x:f>IF(Q17=0,0,Q17*(1+XLOOKUP(R17,'平台参数'!$A$5:$A$9,'平台参数'!$E$5:$E$9,0)+XLOOKUP(R17,'平台参数'!$A$5:$A$9,'平台参数'!$G$5:$G$9,0))+XLOOKUP(R17,'平台参数'!$A$5:$A$9,'平台参数'!$H$5:$H$9,0))</x:f>
        <x:v>0</x:v>
      </x:c>
      <x:c r="V17" s="270" t="n">
        <x:f>IF(S17=0,0,S17*(1-XLOOKUP(T17,'平台参数'!$A$5:$A$9,'平台参数'!$F$5:$F$9,0)-XLOOKUP(T17,'平台参数'!$A$5:$A$9,'平台参数'!$G$5:$G$9,0))-XLOOKUP(T17,'平台参数'!$A$5:$A$9,'平台参数'!$I$5:$I$9,0))</x:f>
        <x:v>0</x:v>
      </x:c>
      <x:c r="W17" s="270" t="n">
        <x:f>V17-U17</x:f>
        <x:v>0</x:v>
      </x:c>
      <x:c r="X17" s="271" t="n">
        <x:f>IFERROR(W17/U17,0)</x:f>
        <x:v>0</x:v>
      </x:c>
      <x:c r="Y17" s="271" t="n">
        <x:f>IFERROR((S17-Q17)/Q17,0)</x:f>
        <x:v>0</x:v>
      </x:c>
      <x:c r="Z17" s="272"/>
      <x:c r="AA17" s="272"/>
      <x:c r="AB17" s="272"/>
      <x:c r="AC17" s="272" t="str">
        <x:f>IF(A17="","",ROUND((Z17+AA17)*10+X17*100-AB17*8,1))</x:f>
      </x:c>
      <x:c r="AD17" s="269"/>
      <x:c r="AE17" s="270" t="n">
        <x:f>IF(T17="",0,(S17*(1-XLOOKUP(T17,'平台参数'!$A$5:$A$9,'平台参数'!$F$5:$F$9,0)-XLOOKUP(T17,'平台参数'!$A$5:$A$9,'平台参数'!$G$5:$G$9,0))-XLOOKUP(T17,'平台参数'!$A$5:$A$9,'平台参数'!$I$5:$I$9,0))/1.18)</x:f>
        <x:v>0</x:v>
      </x:c>
      <x:c r="AF17" s="273" t="str">
        <x:f>IF(A17="","",IFERROR(MAX(_xlfn._xlws.FILTER('实时行情'!$H$5:$H$124,'实时行情'!$A$5:$A$124=A17)),TODAY()))</x:f>
      </x:c>
      <x:c r="AG17" s="274"/>
    </x:row>
    <x:row r="18">
      <x:c r="A18" s="268"/>
      <x:c r="B18" s="269"/>
      <x:c r="C18" s="269"/>
      <x:c r="D18" s="269"/>
      <x:c r="E18" s="269"/>
      <x:c r="F18" s="269"/>
      <x:c r="G18" s="270" t="n">
        <x:f>SUMIFS('实时行情'!$D$5:$D$124,'实时行情'!$A$5:$A$124,$A18,'实时行情'!$C$5:$C$124,"eBay")</x:f>
        <x:v>0</x:v>
      </x:c>
      <x:c r="H18" s="270" t="n">
        <x:f>SUMIFS('实时行情'!$D$5:$D$124,'实时行情'!$A$5:$A$124,$A18,'实时行情'!$C$5:$C$124,"ALT")</x:f>
        <x:v>0</x:v>
      </x:c>
      <x:c r="I18" s="270" t="n">
        <x:f>SUMIFS('实时行情'!$D$5:$D$124,'实时行情'!$A$5:$A$124,$A18,'实时行情'!$C$5:$C$124,"Card Hobby")</x:f>
        <x:v>0</x:v>
      </x:c>
      <x:c r="J18" s="270" t="n">
        <x:f>SUMIFS('实时行情'!$D$5:$D$124,'实时行情'!$A$5:$A$124,$A18,'实时行情'!$C$5:$C$124,"Fanatics Collect")</x:f>
        <x:v>0</x:v>
      </x:c>
      <x:c r="K18" s="270" t="n">
        <x:f>SUMIFS('实时行情'!$D$5:$D$124,'实时行情'!$A$5:$A$124,$A18,'实时行情'!$C$5:$C$124,"PokerColor")</x:f>
        <x:v>0</x:v>
      </x:c>
      <x:c r="L18" s="270" t="n">
        <x:f>SUMIFS('实时行情'!$E$5:$E$124,'实时行情'!$A$5:$A$124,$A18,'实时行情'!$C$5:$C$124,"eBay")</x:f>
        <x:v>0</x:v>
      </x:c>
      <x:c r="M18" s="270" t="n">
        <x:f>SUMIFS('实时行情'!$E$5:$E$124,'实时行情'!$A$5:$A$124,$A18,'实时行情'!$C$5:$C$124,"ALT")</x:f>
        <x:v>0</x:v>
      </x:c>
      <x:c r="N18" s="270" t="n">
        <x:f>SUMIFS('实时行情'!$E$5:$E$124,'实时行情'!$A$5:$A$124,$A18,'实时行情'!$C$5:$C$124,"Card Hobby")</x:f>
        <x:v>0</x:v>
      </x:c>
      <x:c r="O18" s="270" t="n">
        <x:f>SUMIFS('实时行情'!$E$5:$E$124,'实时行情'!$A$5:$A$124,$A18,'实时行情'!$C$5:$C$124,"Fanatics Collect")</x:f>
        <x:v>0</x:v>
      </x:c>
      <x:c r="P18" s="270" t="n">
        <x:f>SUMIFS('实时行情'!$E$5:$E$124,'实时行情'!$A$5:$A$124,$A18,'实时行情'!$C$5:$C$124,"PokerColor")</x:f>
        <x:v>0</x:v>
      </x:c>
      <x:c r="Q18" s="270" t="n">
        <x:f>IFERROR(MIN(_xlfn._xlws.FILTER(G18:K18,G18:K18&gt;0)),0)</x:f>
        <x:v>0</x:v>
      </x:c>
      <x:c r="R18" s="270" t="str">
        <x:f>IF(Q18=0,"",SUBSTITUTE(SUBSTITUTE(INDEX($G$4:$K$4,1,MATCH(Q18,G18:K18,0)),"买价",""),"Fanatics","Fanatics Collect"))</x:f>
      </x:c>
      <x:c r="S18" s="270" t="n">
        <x:f>IFERROR(MAX(_xlfn._xlws.FILTER(L18:P18,L18:P18&gt;0)),0)</x:f>
        <x:v>0</x:v>
      </x:c>
      <x:c r="T18" s="270" t="str">
        <x:f>IF(S18=0,"",SUBSTITUTE(SUBSTITUTE(INDEX($L$4:$P$4,1,MATCH(S18,L18:P18,0)),"卖价",""),"Fanatics","Fanatics Collect"))</x:f>
      </x:c>
      <x:c r="U18" s="270" t="n">
        <x:f>IF(Q18=0,0,Q18*(1+XLOOKUP(R18,'平台参数'!$A$5:$A$9,'平台参数'!$E$5:$E$9,0)+XLOOKUP(R18,'平台参数'!$A$5:$A$9,'平台参数'!$G$5:$G$9,0))+XLOOKUP(R18,'平台参数'!$A$5:$A$9,'平台参数'!$H$5:$H$9,0))</x:f>
        <x:v>0</x:v>
      </x:c>
      <x:c r="V18" s="270" t="n">
        <x:f>IF(S18=0,0,S18*(1-XLOOKUP(T18,'平台参数'!$A$5:$A$9,'平台参数'!$F$5:$F$9,0)-XLOOKUP(T18,'平台参数'!$A$5:$A$9,'平台参数'!$G$5:$G$9,0))-XLOOKUP(T18,'平台参数'!$A$5:$A$9,'平台参数'!$I$5:$I$9,0))</x:f>
        <x:v>0</x:v>
      </x:c>
      <x:c r="W18" s="270" t="n">
        <x:f>V18-U18</x:f>
        <x:v>0</x:v>
      </x:c>
      <x:c r="X18" s="271" t="n">
        <x:f>IFERROR(W18/U18,0)</x:f>
        <x:v>0</x:v>
      </x:c>
      <x:c r="Y18" s="271" t="n">
        <x:f>IFERROR((S18-Q18)/Q18,0)</x:f>
        <x:v>0</x:v>
      </x:c>
      <x:c r="Z18" s="272"/>
      <x:c r="AA18" s="272"/>
      <x:c r="AB18" s="272"/>
      <x:c r="AC18" s="272" t="str">
        <x:f>IF(A18="","",ROUND((Z18+AA18)*10+X18*100-AB18*8,1))</x:f>
      </x:c>
      <x:c r="AD18" s="269"/>
      <x:c r="AE18" s="270" t="n">
        <x:f>IF(T18="",0,(S18*(1-XLOOKUP(T18,'平台参数'!$A$5:$A$9,'平台参数'!$F$5:$F$9,0)-XLOOKUP(T18,'平台参数'!$A$5:$A$9,'平台参数'!$G$5:$G$9,0))-XLOOKUP(T18,'平台参数'!$A$5:$A$9,'平台参数'!$I$5:$I$9,0))/1.18)</x:f>
        <x:v>0</x:v>
      </x:c>
      <x:c r="AF18" s="273" t="str">
        <x:f>IF(A18="","",IFERROR(MAX(_xlfn._xlws.FILTER('实时行情'!$H$5:$H$124,'实时行情'!$A$5:$A$124=A18)),TODAY()))</x:f>
      </x:c>
      <x:c r="AG18" s="274"/>
    </x:row>
    <x:row r="19">
      <x:c r="A19" s="268"/>
      <x:c r="B19" s="269"/>
      <x:c r="C19" s="269"/>
      <x:c r="D19" s="269"/>
      <x:c r="E19" s="269"/>
      <x:c r="F19" s="269"/>
      <x:c r="G19" s="270" t="n">
        <x:f>SUMIFS('实时行情'!$D$5:$D$124,'实时行情'!$A$5:$A$124,$A19,'实时行情'!$C$5:$C$124,"eBay")</x:f>
        <x:v>0</x:v>
      </x:c>
      <x:c r="H19" s="270" t="n">
        <x:f>SUMIFS('实时行情'!$D$5:$D$124,'实时行情'!$A$5:$A$124,$A19,'实时行情'!$C$5:$C$124,"ALT")</x:f>
        <x:v>0</x:v>
      </x:c>
      <x:c r="I19" s="270" t="n">
        <x:f>SUMIFS('实时行情'!$D$5:$D$124,'实时行情'!$A$5:$A$124,$A19,'实时行情'!$C$5:$C$124,"Card Hobby")</x:f>
        <x:v>0</x:v>
      </x:c>
      <x:c r="J19" s="270" t="n">
        <x:f>SUMIFS('实时行情'!$D$5:$D$124,'实时行情'!$A$5:$A$124,$A19,'实时行情'!$C$5:$C$124,"Fanatics Collect")</x:f>
        <x:v>0</x:v>
      </x:c>
      <x:c r="K19" s="270" t="n">
        <x:f>SUMIFS('实时行情'!$D$5:$D$124,'实时行情'!$A$5:$A$124,$A19,'实时行情'!$C$5:$C$124,"PokerColor")</x:f>
        <x:v>0</x:v>
      </x:c>
      <x:c r="L19" s="270" t="n">
        <x:f>SUMIFS('实时行情'!$E$5:$E$124,'实时行情'!$A$5:$A$124,$A19,'实时行情'!$C$5:$C$124,"eBay")</x:f>
        <x:v>0</x:v>
      </x:c>
      <x:c r="M19" s="270" t="n">
        <x:f>SUMIFS('实时行情'!$E$5:$E$124,'实时行情'!$A$5:$A$124,$A19,'实时行情'!$C$5:$C$124,"ALT")</x:f>
        <x:v>0</x:v>
      </x:c>
      <x:c r="N19" s="270" t="n">
        <x:f>SUMIFS('实时行情'!$E$5:$E$124,'实时行情'!$A$5:$A$124,$A19,'实时行情'!$C$5:$C$124,"Card Hobby")</x:f>
        <x:v>0</x:v>
      </x:c>
      <x:c r="O19" s="270" t="n">
        <x:f>SUMIFS('实时行情'!$E$5:$E$124,'实时行情'!$A$5:$A$124,$A19,'实时行情'!$C$5:$C$124,"Fanatics Collect")</x:f>
        <x:v>0</x:v>
      </x:c>
      <x:c r="P19" s="270" t="n">
        <x:f>SUMIFS('实时行情'!$E$5:$E$124,'实时行情'!$A$5:$A$124,$A19,'实时行情'!$C$5:$C$124,"PokerColor")</x:f>
        <x:v>0</x:v>
      </x:c>
      <x:c r="Q19" s="270" t="n">
        <x:f>IFERROR(MIN(_xlfn._xlws.FILTER(G19:K19,G19:K19&gt;0)),0)</x:f>
        <x:v>0</x:v>
      </x:c>
      <x:c r="R19" s="270" t="str">
        <x:f>IF(Q19=0,"",SUBSTITUTE(SUBSTITUTE(INDEX($G$4:$K$4,1,MATCH(Q19,G19:K19,0)),"买价",""),"Fanatics","Fanatics Collect"))</x:f>
      </x:c>
      <x:c r="S19" s="270" t="n">
        <x:f>IFERROR(MAX(_xlfn._xlws.FILTER(L19:P19,L19:P19&gt;0)),0)</x:f>
        <x:v>0</x:v>
      </x:c>
      <x:c r="T19" s="270" t="str">
        <x:f>IF(S19=0,"",SUBSTITUTE(SUBSTITUTE(INDEX($L$4:$P$4,1,MATCH(S19,L19:P19,0)),"卖价",""),"Fanatics","Fanatics Collect"))</x:f>
      </x:c>
      <x:c r="U19" s="270" t="n">
        <x:f>IF(Q19=0,0,Q19*(1+XLOOKUP(R19,'平台参数'!$A$5:$A$9,'平台参数'!$E$5:$E$9,0)+XLOOKUP(R19,'平台参数'!$A$5:$A$9,'平台参数'!$G$5:$G$9,0))+XLOOKUP(R19,'平台参数'!$A$5:$A$9,'平台参数'!$H$5:$H$9,0))</x:f>
        <x:v>0</x:v>
      </x:c>
      <x:c r="V19" s="270" t="n">
        <x:f>IF(S19=0,0,S19*(1-XLOOKUP(T19,'平台参数'!$A$5:$A$9,'平台参数'!$F$5:$F$9,0)-XLOOKUP(T19,'平台参数'!$A$5:$A$9,'平台参数'!$G$5:$G$9,0))-XLOOKUP(T19,'平台参数'!$A$5:$A$9,'平台参数'!$I$5:$I$9,0))</x:f>
        <x:v>0</x:v>
      </x:c>
      <x:c r="W19" s="270" t="n">
        <x:f>V19-U19</x:f>
        <x:v>0</x:v>
      </x:c>
      <x:c r="X19" s="271" t="n">
        <x:f>IFERROR(W19/U19,0)</x:f>
        <x:v>0</x:v>
      </x:c>
      <x:c r="Y19" s="271" t="n">
        <x:f>IFERROR((S19-Q19)/Q19,0)</x:f>
        <x:v>0</x:v>
      </x:c>
      <x:c r="Z19" s="272"/>
      <x:c r="AA19" s="272"/>
      <x:c r="AB19" s="272"/>
      <x:c r="AC19" s="272" t="str">
        <x:f>IF(A19="","",ROUND((Z19+AA19)*10+X19*100-AB19*8,1))</x:f>
      </x:c>
      <x:c r="AD19" s="269"/>
      <x:c r="AE19" s="270" t="n">
        <x:f>IF(T19="",0,(S19*(1-XLOOKUP(T19,'平台参数'!$A$5:$A$9,'平台参数'!$F$5:$F$9,0)-XLOOKUP(T19,'平台参数'!$A$5:$A$9,'平台参数'!$G$5:$G$9,0))-XLOOKUP(T19,'平台参数'!$A$5:$A$9,'平台参数'!$I$5:$I$9,0))/1.18)</x:f>
        <x:v>0</x:v>
      </x:c>
      <x:c r="AF19" s="273" t="str">
        <x:f>IF(A19="","",IFERROR(MAX(_xlfn._xlws.FILTER('实时行情'!$H$5:$H$124,'实时行情'!$A$5:$A$124=A19)),TODAY()))</x:f>
      </x:c>
      <x:c r="AG19" s="274"/>
    </x:row>
    <x:row r="20">
      <x:c r="A20" s="268"/>
      <x:c r="B20" s="269"/>
      <x:c r="C20" s="269"/>
      <x:c r="D20" s="269"/>
      <x:c r="E20" s="269"/>
      <x:c r="F20" s="269"/>
      <x:c r="G20" s="270" t="n">
        <x:f>SUMIFS('实时行情'!$D$5:$D$124,'实时行情'!$A$5:$A$124,$A20,'实时行情'!$C$5:$C$124,"eBay")</x:f>
        <x:v>0</x:v>
      </x:c>
      <x:c r="H20" s="270" t="n">
        <x:f>SUMIFS('实时行情'!$D$5:$D$124,'实时行情'!$A$5:$A$124,$A20,'实时行情'!$C$5:$C$124,"ALT")</x:f>
        <x:v>0</x:v>
      </x:c>
      <x:c r="I20" s="270" t="n">
        <x:f>SUMIFS('实时行情'!$D$5:$D$124,'实时行情'!$A$5:$A$124,$A20,'实时行情'!$C$5:$C$124,"Card Hobby")</x:f>
        <x:v>0</x:v>
      </x:c>
      <x:c r="J20" s="270" t="n">
        <x:f>SUMIFS('实时行情'!$D$5:$D$124,'实时行情'!$A$5:$A$124,$A20,'实时行情'!$C$5:$C$124,"Fanatics Collect")</x:f>
        <x:v>0</x:v>
      </x:c>
      <x:c r="K20" s="270" t="n">
        <x:f>SUMIFS('实时行情'!$D$5:$D$124,'实时行情'!$A$5:$A$124,$A20,'实时行情'!$C$5:$C$124,"PokerColor")</x:f>
        <x:v>0</x:v>
      </x:c>
      <x:c r="L20" s="270" t="n">
        <x:f>SUMIFS('实时行情'!$E$5:$E$124,'实时行情'!$A$5:$A$124,$A20,'实时行情'!$C$5:$C$124,"eBay")</x:f>
        <x:v>0</x:v>
      </x:c>
      <x:c r="M20" s="270" t="n">
        <x:f>SUMIFS('实时行情'!$E$5:$E$124,'实时行情'!$A$5:$A$124,$A20,'实时行情'!$C$5:$C$124,"ALT")</x:f>
        <x:v>0</x:v>
      </x:c>
      <x:c r="N20" s="270" t="n">
        <x:f>SUMIFS('实时行情'!$E$5:$E$124,'实时行情'!$A$5:$A$124,$A20,'实时行情'!$C$5:$C$124,"Card Hobby")</x:f>
        <x:v>0</x:v>
      </x:c>
      <x:c r="O20" s="270" t="n">
        <x:f>SUMIFS('实时行情'!$E$5:$E$124,'实时行情'!$A$5:$A$124,$A20,'实时行情'!$C$5:$C$124,"Fanatics Collect")</x:f>
        <x:v>0</x:v>
      </x:c>
      <x:c r="P20" s="270" t="n">
        <x:f>SUMIFS('实时行情'!$E$5:$E$124,'实时行情'!$A$5:$A$124,$A20,'实时行情'!$C$5:$C$124,"PokerColor")</x:f>
        <x:v>0</x:v>
      </x:c>
      <x:c r="Q20" s="270" t="n">
        <x:f>IFERROR(MIN(_xlfn._xlws.FILTER(G20:K20,G20:K20&gt;0)),0)</x:f>
        <x:v>0</x:v>
      </x:c>
      <x:c r="R20" s="270" t="str">
        <x:f>IF(Q20=0,"",SUBSTITUTE(SUBSTITUTE(INDEX($G$4:$K$4,1,MATCH(Q20,G20:K20,0)),"买价",""),"Fanatics","Fanatics Collect"))</x:f>
      </x:c>
      <x:c r="S20" s="270" t="n">
        <x:f>IFERROR(MAX(_xlfn._xlws.FILTER(L20:P20,L20:P20&gt;0)),0)</x:f>
        <x:v>0</x:v>
      </x:c>
      <x:c r="T20" s="270" t="str">
        <x:f>IF(S20=0,"",SUBSTITUTE(SUBSTITUTE(INDEX($L$4:$P$4,1,MATCH(S20,L20:P20,0)),"卖价",""),"Fanatics","Fanatics Collect"))</x:f>
      </x:c>
      <x:c r="U20" s="270" t="n">
        <x:f>IF(Q20=0,0,Q20*(1+XLOOKUP(R20,'平台参数'!$A$5:$A$9,'平台参数'!$E$5:$E$9,0)+XLOOKUP(R20,'平台参数'!$A$5:$A$9,'平台参数'!$G$5:$G$9,0))+XLOOKUP(R20,'平台参数'!$A$5:$A$9,'平台参数'!$H$5:$H$9,0))</x:f>
        <x:v>0</x:v>
      </x:c>
      <x:c r="V20" s="270" t="n">
        <x:f>IF(S20=0,0,S20*(1-XLOOKUP(T20,'平台参数'!$A$5:$A$9,'平台参数'!$F$5:$F$9,0)-XLOOKUP(T20,'平台参数'!$A$5:$A$9,'平台参数'!$G$5:$G$9,0))-XLOOKUP(T20,'平台参数'!$A$5:$A$9,'平台参数'!$I$5:$I$9,0))</x:f>
        <x:v>0</x:v>
      </x:c>
      <x:c r="W20" s="270" t="n">
        <x:f>V20-U20</x:f>
        <x:v>0</x:v>
      </x:c>
      <x:c r="X20" s="271" t="n">
        <x:f>IFERROR(W20/U20,0)</x:f>
        <x:v>0</x:v>
      </x:c>
      <x:c r="Y20" s="271" t="n">
        <x:f>IFERROR((S20-Q20)/Q20,0)</x:f>
        <x:v>0</x:v>
      </x:c>
      <x:c r="Z20" s="272"/>
      <x:c r="AA20" s="272"/>
      <x:c r="AB20" s="272"/>
      <x:c r="AC20" s="272" t="str">
        <x:f>IF(A20="","",ROUND((Z20+AA20)*10+X20*100-AB20*8,1))</x:f>
      </x:c>
      <x:c r="AD20" s="269"/>
      <x:c r="AE20" s="270" t="n">
        <x:f>IF(T20="",0,(S20*(1-XLOOKUP(T20,'平台参数'!$A$5:$A$9,'平台参数'!$F$5:$F$9,0)-XLOOKUP(T20,'平台参数'!$A$5:$A$9,'平台参数'!$G$5:$G$9,0))-XLOOKUP(T20,'平台参数'!$A$5:$A$9,'平台参数'!$I$5:$I$9,0))/1.18)</x:f>
        <x:v>0</x:v>
      </x:c>
      <x:c r="AF20" s="273" t="str">
        <x:f>IF(A20="","",IFERROR(MAX(_xlfn._xlws.FILTER('实时行情'!$H$5:$H$124,'实时行情'!$A$5:$A$124=A20)),TODAY()))</x:f>
      </x:c>
      <x:c r="AG20" s="274"/>
    </x:row>
    <x:row r="21">
      <x:c r="A21" s="268"/>
      <x:c r="B21" s="269"/>
      <x:c r="C21" s="269"/>
      <x:c r="D21" s="269"/>
      <x:c r="E21" s="269"/>
      <x:c r="F21" s="269"/>
      <x:c r="G21" s="270" t="n">
        <x:f>SUMIFS('实时行情'!$D$5:$D$124,'实时行情'!$A$5:$A$124,$A21,'实时行情'!$C$5:$C$124,"eBay")</x:f>
        <x:v>0</x:v>
      </x:c>
      <x:c r="H21" s="270" t="n">
        <x:f>SUMIFS('实时行情'!$D$5:$D$124,'实时行情'!$A$5:$A$124,$A21,'实时行情'!$C$5:$C$124,"ALT")</x:f>
        <x:v>0</x:v>
      </x:c>
      <x:c r="I21" s="270" t="n">
        <x:f>SUMIFS('实时行情'!$D$5:$D$124,'实时行情'!$A$5:$A$124,$A21,'实时行情'!$C$5:$C$124,"Card Hobby")</x:f>
        <x:v>0</x:v>
      </x:c>
      <x:c r="J21" s="270" t="n">
        <x:f>SUMIFS('实时行情'!$D$5:$D$124,'实时行情'!$A$5:$A$124,$A21,'实时行情'!$C$5:$C$124,"Fanatics Collect")</x:f>
        <x:v>0</x:v>
      </x:c>
      <x:c r="K21" s="270" t="n">
        <x:f>SUMIFS('实时行情'!$D$5:$D$124,'实时行情'!$A$5:$A$124,$A21,'实时行情'!$C$5:$C$124,"PokerColor")</x:f>
        <x:v>0</x:v>
      </x:c>
      <x:c r="L21" s="270" t="n">
        <x:f>SUMIFS('实时行情'!$E$5:$E$124,'实时行情'!$A$5:$A$124,$A21,'实时行情'!$C$5:$C$124,"eBay")</x:f>
        <x:v>0</x:v>
      </x:c>
      <x:c r="M21" s="270" t="n">
        <x:f>SUMIFS('实时行情'!$E$5:$E$124,'实时行情'!$A$5:$A$124,$A21,'实时行情'!$C$5:$C$124,"ALT")</x:f>
        <x:v>0</x:v>
      </x:c>
      <x:c r="N21" s="270" t="n">
        <x:f>SUMIFS('实时行情'!$E$5:$E$124,'实时行情'!$A$5:$A$124,$A21,'实时行情'!$C$5:$C$124,"Card Hobby")</x:f>
        <x:v>0</x:v>
      </x:c>
      <x:c r="O21" s="270" t="n">
        <x:f>SUMIFS('实时行情'!$E$5:$E$124,'实时行情'!$A$5:$A$124,$A21,'实时行情'!$C$5:$C$124,"Fanatics Collect")</x:f>
        <x:v>0</x:v>
      </x:c>
      <x:c r="P21" s="270" t="n">
        <x:f>SUMIFS('实时行情'!$E$5:$E$124,'实时行情'!$A$5:$A$124,$A21,'实时行情'!$C$5:$C$124,"PokerColor")</x:f>
        <x:v>0</x:v>
      </x:c>
      <x:c r="Q21" s="270" t="n">
        <x:f>IFERROR(MIN(_xlfn._xlws.FILTER(G21:K21,G21:K21&gt;0)),0)</x:f>
        <x:v>0</x:v>
      </x:c>
      <x:c r="R21" s="270" t="str">
        <x:f>IF(Q21=0,"",SUBSTITUTE(SUBSTITUTE(INDEX($G$4:$K$4,1,MATCH(Q21,G21:K21,0)),"买价",""),"Fanatics","Fanatics Collect"))</x:f>
      </x:c>
      <x:c r="S21" s="270" t="n">
        <x:f>IFERROR(MAX(_xlfn._xlws.FILTER(L21:P21,L21:P21&gt;0)),0)</x:f>
        <x:v>0</x:v>
      </x:c>
      <x:c r="T21" s="270" t="str">
        <x:f>IF(S21=0,"",SUBSTITUTE(SUBSTITUTE(INDEX($L$4:$P$4,1,MATCH(S21,L21:P21,0)),"卖价",""),"Fanatics","Fanatics Collect"))</x:f>
      </x:c>
      <x:c r="U21" s="270" t="n">
        <x:f>IF(Q21=0,0,Q21*(1+XLOOKUP(R21,'平台参数'!$A$5:$A$9,'平台参数'!$E$5:$E$9,0)+XLOOKUP(R21,'平台参数'!$A$5:$A$9,'平台参数'!$G$5:$G$9,0))+XLOOKUP(R21,'平台参数'!$A$5:$A$9,'平台参数'!$H$5:$H$9,0))</x:f>
        <x:v>0</x:v>
      </x:c>
      <x:c r="V21" s="270" t="n">
        <x:f>IF(S21=0,0,S21*(1-XLOOKUP(T21,'平台参数'!$A$5:$A$9,'平台参数'!$F$5:$F$9,0)-XLOOKUP(T21,'平台参数'!$A$5:$A$9,'平台参数'!$G$5:$G$9,0))-XLOOKUP(T21,'平台参数'!$A$5:$A$9,'平台参数'!$I$5:$I$9,0))</x:f>
        <x:v>0</x:v>
      </x:c>
      <x:c r="W21" s="270" t="n">
        <x:f>V21-U21</x:f>
        <x:v>0</x:v>
      </x:c>
      <x:c r="X21" s="271" t="n">
        <x:f>IFERROR(W21/U21,0)</x:f>
        <x:v>0</x:v>
      </x:c>
      <x:c r="Y21" s="271" t="n">
        <x:f>IFERROR((S21-Q21)/Q21,0)</x:f>
        <x:v>0</x:v>
      </x:c>
      <x:c r="Z21" s="272"/>
      <x:c r="AA21" s="272"/>
      <x:c r="AB21" s="272"/>
      <x:c r="AC21" s="272" t="str">
        <x:f>IF(A21="","",ROUND((Z21+AA21)*10+X21*100-AB21*8,1))</x:f>
      </x:c>
      <x:c r="AD21" s="269"/>
      <x:c r="AE21" s="270" t="n">
        <x:f>IF(T21="",0,(S21*(1-XLOOKUP(T21,'平台参数'!$A$5:$A$9,'平台参数'!$F$5:$F$9,0)-XLOOKUP(T21,'平台参数'!$A$5:$A$9,'平台参数'!$G$5:$G$9,0))-XLOOKUP(T21,'平台参数'!$A$5:$A$9,'平台参数'!$I$5:$I$9,0))/1.18)</x:f>
        <x:v>0</x:v>
      </x:c>
      <x:c r="AF21" s="273" t="str">
        <x:f>IF(A21="","",IFERROR(MAX(_xlfn._xlws.FILTER('实时行情'!$H$5:$H$124,'实时行情'!$A$5:$A$124=A21)),TODAY()))</x:f>
      </x:c>
      <x:c r="AG21" s="274"/>
    </x:row>
    <x:row r="22">
      <x:c r="A22" s="268"/>
      <x:c r="B22" s="269"/>
      <x:c r="C22" s="269"/>
      <x:c r="D22" s="269"/>
      <x:c r="E22" s="269"/>
      <x:c r="F22" s="269"/>
      <x:c r="G22" s="270" t="n">
        <x:f>SUMIFS('实时行情'!$D$5:$D$124,'实时行情'!$A$5:$A$124,$A22,'实时行情'!$C$5:$C$124,"eBay")</x:f>
        <x:v>0</x:v>
      </x:c>
      <x:c r="H22" s="270" t="n">
        <x:f>SUMIFS('实时行情'!$D$5:$D$124,'实时行情'!$A$5:$A$124,$A22,'实时行情'!$C$5:$C$124,"ALT")</x:f>
        <x:v>0</x:v>
      </x:c>
      <x:c r="I22" s="270" t="n">
        <x:f>SUMIFS('实时行情'!$D$5:$D$124,'实时行情'!$A$5:$A$124,$A22,'实时行情'!$C$5:$C$124,"Card Hobby")</x:f>
        <x:v>0</x:v>
      </x:c>
      <x:c r="J22" s="270" t="n">
        <x:f>SUMIFS('实时行情'!$D$5:$D$124,'实时行情'!$A$5:$A$124,$A22,'实时行情'!$C$5:$C$124,"Fanatics Collect")</x:f>
        <x:v>0</x:v>
      </x:c>
      <x:c r="K22" s="270" t="n">
        <x:f>SUMIFS('实时行情'!$D$5:$D$124,'实时行情'!$A$5:$A$124,$A22,'实时行情'!$C$5:$C$124,"PokerColor")</x:f>
        <x:v>0</x:v>
      </x:c>
      <x:c r="L22" s="270" t="n">
        <x:f>SUMIFS('实时行情'!$E$5:$E$124,'实时行情'!$A$5:$A$124,$A22,'实时行情'!$C$5:$C$124,"eBay")</x:f>
        <x:v>0</x:v>
      </x:c>
      <x:c r="M22" s="270" t="n">
        <x:f>SUMIFS('实时行情'!$E$5:$E$124,'实时行情'!$A$5:$A$124,$A22,'实时行情'!$C$5:$C$124,"ALT")</x:f>
        <x:v>0</x:v>
      </x:c>
      <x:c r="N22" s="270" t="n">
        <x:f>SUMIFS('实时行情'!$E$5:$E$124,'实时行情'!$A$5:$A$124,$A22,'实时行情'!$C$5:$C$124,"Card Hobby")</x:f>
        <x:v>0</x:v>
      </x:c>
      <x:c r="O22" s="270" t="n">
        <x:f>SUMIFS('实时行情'!$E$5:$E$124,'实时行情'!$A$5:$A$124,$A22,'实时行情'!$C$5:$C$124,"Fanatics Collect")</x:f>
        <x:v>0</x:v>
      </x:c>
      <x:c r="P22" s="270" t="n">
        <x:f>SUMIFS('实时行情'!$E$5:$E$124,'实时行情'!$A$5:$A$124,$A22,'实时行情'!$C$5:$C$124,"PokerColor")</x:f>
        <x:v>0</x:v>
      </x:c>
      <x:c r="Q22" s="270" t="n">
        <x:f>IFERROR(MIN(_xlfn._xlws.FILTER(G22:K22,G22:K22&gt;0)),0)</x:f>
        <x:v>0</x:v>
      </x:c>
      <x:c r="R22" s="270" t="str">
        <x:f>IF(Q22=0,"",SUBSTITUTE(SUBSTITUTE(INDEX($G$4:$K$4,1,MATCH(Q22,G22:K22,0)),"买价",""),"Fanatics","Fanatics Collect"))</x:f>
      </x:c>
      <x:c r="S22" s="270" t="n">
        <x:f>IFERROR(MAX(_xlfn._xlws.FILTER(L22:P22,L22:P22&gt;0)),0)</x:f>
        <x:v>0</x:v>
      </x:c>
      <x:c r="T22" s="270" t="str">
        <x:f>IF(S22=0,"",SUBSTITUTE(SUBSTITUTE(INDEX($L$4:$P$4,1,MATCH(S22,L22:P22,0)),"卖价",""),"Fanatics","Fanatics Collect"))</x:f>
      </x:c>
      <x:c r="U22" s="270" t="n">
        <x:f>IF(Q22=0,0,Q22*(1+XLOOKUP(R22,'平台参数'!$A$5:$A$9,'平台参数'!$E$5:$E$9,0)+XLOOKUP(R22,'平台参数'!$A$5:$A$9,'平台参数'!$G$5:$G$9,0))+XLOOKUP(R22,'平台参数'!$A$5:$A$9,'平台参数'!$H$5:$H$9,0))</x:f>
        <x:v>0</x:v>
      </x:c>
      <x:c r="V22" s="270" t="n">
        <x:f>IF(S22=0,0,S22*(1-XLOOKUP(T22,'平台参数'!$A$5:$A$9,'平台参数'!$F$5:$F$9,0)-XLOOKUP(T22,'平台参数'!$A$5:$A$9,'平台参数'!$G$5:$G$9,0))-XLOOKUP(T22,'平台参数'!$A$5:$A$9,'平台参数'!$I$5:$I$9,0))</x:f>
        <x:v>0</x:v>
      </x:c>
      <x:c r="W22" s="270" t="n">
        <x:f>V22-U22</x:f>
        <x:v>0</x:v>
      </x:c>
      <x:c r="X22" s="271" t="n">
        <x:f>IFERROR(W22/U22,0)</x:f>
        <x:v>0</x:v>
      </x:c>
      <x:c r="Y22" s="271" t="n">
        <x:f>IFERROR((S22-Q22)/Q22,0)</x:f>
        <x:v>0</x:v>
      </x:c>
      <x:c r="Z22" s="272"/>
      <x:c r="AA22" s="272"/>
      <x:c r="AB22" s="272"/>
      <x:c r="AC22" s="272" t="str">
        <x:f>IF(A22="","",ROUND((Z22+AA22)*10+X22*100-AB22*8,1))</x:f>
      </x:c>
      <x:c r="AD22" s="269"/>
      <x:c r="AE22" s="270" t="n">
        <x:f>IF(T22="",0,(S22*(1-XLOOKUP(T22,'平台参数'!$A$5:$A$9,'平台参数'!$F$5:$F$9,0)-XLOOKUP(T22,'平台参数'!$A$5:$A$9,'平台参数'!$G$5:$G$9,0))-XLOOKUP(T22,'平台参数'!$A$5:$A$9,'平台参数'!$I$5:$I$9,0))/1.18)</x:f>
        <x:v>0</x:v>
      </x:c>
      <x:c r="AF22" s="273" t="str">
        <x:f>IF(A22="","",IFERROR(MAX(_xlfn._xlws.FILTER('实时行情'!$H$5:$H$124,'实时行情'!$A$5:$A$124=A22)),TODAY()))</x:f>
      </x:c>
      <x:c r="AG22" s="274"/>
    </x:row>
    <x:row r="23">
      <x:c r="A23" s="268"/>
      <x:c r="B23" s="269"/>
      <x:c r="C23" s="269"/>
      <x:c r="D23" s="269"/>
      <x:c r="E23" s="269"/>
      <x:c r="F23" s="269"/>
      <x:c r="G23" s="270" t="n">
        <x:f>SUMIFS('实时行情'!$D$5:$D$124,'实时行情'!$A$5:$A$124,$A23,'实时行情'!$C$5:$C$124,"eBay")</x:f>
        <x:v>0</x:v>
      </x:c>
      <x:c r="H23" s="270" t="n">
        <x:f>SUMIFS('实时行情'!$D$5:$D$124,'实时行情'!$A$5:$A$124,$A23,'实时行情'!$C$5:$C$124,"ALT")</x:f>
        <x:v>0</x:v>
      </x:c>
      <x:c r="I23" s="270" t="n">
        <x:f>SUMIFS('实时行情'!$D$5:$D$124,'实时行情'!$A$5:$A$124,$A23,'实时行情'!$C$5:$C$124,"Card Hobby")</x:f>
        <x:v>0</x:v>
      </x:c>
      <x:c r="J23" s="270" t="n">
        <x:f>SUMIFS('实时行情'!$D$5:$D$124,'实时行情'!$A$5:$A$124,$A23,'实时行情'!$C$5:$C$124,"Fanatics Collect")</x:f>
        <x:v>0</x:v>
      </x:c>
      <x:c r="K23" s="270" t="n">
        <x:f>SUMIFS('实时行情'!$D$5:$D$124,'实时行情'!$A$5:$A$124,$A23,'实时行情'!$C$5:$C$124,"PokerColor")</x:f>
        <x:v>0</x:v>
      </x:c>
      <x:c r="L23" s="270" t="n">
        <x:f>SUMIFS('实时行情'!$E$5:$E$124,'实时行情'!$A$5:$A$124,$A23,'实时行情'!$C$5:$C$124,"eBay")</x:f>
        <x:v>0</x:v>
      </x:c>
      <x:c r="M23" s="270" t="n">
        <x:f>SUMIFS('实时行情'!$E$5:$E$124,'实时行情'!$A$5:$A$124,$A23,'实时行情'!$C$5:$C$124,"ALT")</x:f>
        <x:v>0</x:v>
      </x:c>
      <x:c r="N23" s="270" t="n">
        <x:f>SUMIFS('实时行情'!$E$5:$E$124,'实时行情'!$A$5:$A$124,$A23,'实时行情'!$C$5:$C$124,"Card Hobby")</x:f>
        <x:v>0</x:v>
      </x:c>
      <x:c r="O23" s="270" t="n">
        <x:f>SUMIFS('实时行情'!$E$5:$E$124,'实时行情'!$A$5:$A$124,$A23,'实时行情'!$C$5:$C$124,"Fanatics Collect")</x:f>
        <x:v>0</x:v>
      </x:c>
      <x:c r="P23" s="270" t="n">
        <x:f>SUMIFS('实时行情'!$E$5:$E$124,'实时行情'!$A$5:$A$124,$A23,'实时行情'!$C$5:$C$124,"PokerColor")</x:f>
        <x:v>0</x:v>
      </x:c>
      <x:c r="Q23" s="270" t="n">
        <x:f>IFERROR(MIN(_xlfn._xlws.FILTER(G23:K23,G23:K23&gt;0)),0)</x:f>
        <x:v>0</x:v>
      </x:c>
      <x:c r="R23" s="270" t="str">
        <x:f>IF(Q23=0,"",SUBSTITUTE(SUBSTITUTE(INDEX($G$4:$K$4,1,MATCH(Q23,G23:K23,0)),"买价",""),"Fanatics","Fanatics Collect"))</x:f>
      </x:c>
      <x:c r="S23" s="270" t="n">
        <x:f>IFERROR(MAX(_xlfn._xlws.FILTER(L23:P23,L23:P23&gt;0)),0)</x:f>
        <x:v>0</x:v>
      </x:c>
      <x:c r="T23" s="270" t="str">
        <x:f>IF(S23=0,"",SUBSTITUTE(SUBSTITUTE(INDEX($L$4:$P$4,1,MATCH(S23,L23:P23,0)),"卖价",""),"Fanatics","Fanatics Collect"))</x:f>
      </x:c>
      <x:c r="U23" s="270" t="n">
        <x:f>IF(Q23=0,0,Q23*(1+XLOOKUP(R23,'平台参数'!$A$5:$A$9,'平台参数'!$E$5:$E$9,0)+XLOOKUP(R23,'平台参数'!$A$5:$A$9,'平台参数'!$G$5:$G$9,0))+XLOOKUP(R23,'平台参数'!$A$5:$A$9,'平台参数'!$H$5:$H$9,0))</x:f>
        <x:v>0</x:v>
      </x:c>
      <x:c r="V23" s="270" t="n">
        <x:f>IF(S23=0,0,S23*(1-XLOOKUP(T23,'平台参数'!$A$5:$A$9,'平台参数'!$F$5:$F$9,0)-XLOOKUP(T23,'平台参数'!$A$5:$A$9,'平台参数'!$G$5:$G$9,0))-XLOOKUP(T23,'平台参数'!$A$5:$A$9,'平台参数'!$I$5:$I$9,0))</x:f>
        <x:v>0</x:v>
      </x:c>
      <x:c r="W23" s="270" t="n">
        <x:f>V23-U23</x:f>
        <x:v>0</x:v>
      </x:c>
      <x:c r="X23" s="271" t="n">
        <x:f>IFERROR(W23/U23,0)</x:f>
        <x:v>0</x:v>
      </x:c>
      <x:c r="Y23" s="271" t="n">
        <x:f>IFERROR((S23-Q23)/Q23,0)</x:f>
        <x:v>0</x:v>
      </x:c>
      <x:c r="Z23" s="272"/>
      <x:c r="AA23" s="272"/>
      <x:c r="AB23" s="272"/>
      <x:c r="AC23" s="272" t="str">
        <x:f>IF(A23="","",ROUND((Z23+AA23)*10+X23*100-AB23*8,1))</x:f>
      </x:c>
      <x:c r="AD23" s="269"/>
      <x:c r="AE23" s="270" t="n">
        <x:f>IF(T23="",0,(S23*(1-XLOOKUP(T23,'平台参数'!$A$5:$A$9,'平台参数'!$F$5:$F$9,0)-XLOOKUP(T23,'平台参数'!$A$5:$A$9,'平台参数'!$G$5:$G$9,0))-XLOOKUP(T23,'平台参数'!$A$5:$A$9,'平台参数'!$I$5:$I$9,0))/1.18)</x:f>
        <x:v>0</x:v>
      </x:c>
      <x:c r="AF23" s="273" t="str">
        <x:f>IF(A23="","",IFERROR(MAX(_xlfn._xlws.FILTER('实时行情'!$H$5:$H$124,'实时行情'!$A$5:$A$124=A23)),TODAY()))</x:f>
      </x:c>
      <x:c r="AG23" s="274"/>
    </x:row>
    <x:row r="24">
      <x:c r="A24" s="268"/>
      <x:c r="B24" s="269"/>
      <x:c r="C24" s="269"/>
      <x:c r="D24" s="269"/>
      <x:c r="E24" s="269"/>
      <x:c r="F24" s="269"/>
      <x:c r="G24" s="270" t="n">
        <x:f>SUMIFS('实时行情'!$D$5:$D$124,'实时行情'!$A$5:$A$124,$A24,'实时行情'!$C$5:$C$124,"eBay")</x:f>
        <x:v>0</x:v>
      </x:c>
      <x:c r="H24" s="270" t="n">
        <x:f>SUMIFS('实时行情'!$D$5:$D$124,'实时行情'!$A$5:$A$124,$A24,'实时行情'!$C$5:$C$124,"ALT")</x:f>
        <x:v>0</x:v>
      </x:c>
      <x:c r="I24" s="270" t="n">
        <x:f>SUMIFS('实时行情'!$D$5:$D$124,'实时行情'!$A$5:$A$124,$A24,'实时行情'!$C$5:$C$124,"Card Hobby")</x:f>
        <x:v>0</x:v>
      </x:c>
      <x:c r="J24" s="270" t="n">
        <x:f>SUMIFS('实时行情'!$D$5:$D$124,'实时行情'!$A$5:$A$124,$A24,'实时行情'!$C$5:$C$124,"Fanatics Collect")</x:f>
        <x:v>0</x:v>
      </x:c>
      <x:c r="K24" s="270" t="n">
        <x:f>SUMIFS('实时行情'!$D$5:$D$124,'实时行情'!$A$5:$A$124,$A24,'实时行情'!$C$5:$C$124,"PokerColor")</x:f>
        <x:v>0</x:v>
      </x:c>
      <x:c r="L24" s="270" t="n">
        <x:f>SUMIFS('实时行情'!$E$5:$E$124,'实时行情'!$A$5:$A$124,$A24,'实时行情'!$C$5:$C$124,"eBay")</x:f>
        <x:v>0</x:v>
      </x:c>
      <x:c r="M24" s="270" t="n">
        <x:f>SUMIFS('实时行情'!$E$5:$E$124,'实时行情'!$A$5:$A$124,$A24,'实时行情'!$C$5:$C$124,"ALT")</x:f>
        <x:v>0</x:v>
      </x:c>
      <x:c r="N24" s="270" t="n">
        <x:f>SUMIFS('实时行情'!$E$5:$E$124,'实时行情'!$A$5:$A$124,$A24,'实时行情'!$C$5:$C$124,"Card Hobby")</x:f>
        <x:v>0</x:v>
      </x:c>
      <x:c r="O24" s="270" t="n">
        <x:f>SUMIFS('实时行情'!$E$5:$E$124,'实时行情'!$A$5:$A$124,$A24,'实时行情'!$C$5:$C$124,"Fanatics Collect")</x:f>
        <x:v>0</x:v>
      </x:c>
      <x:c r="P24" s="270" t="n">
        <x:f>SUMIFS('实时行情'!$E$5:$E$124,'实时行情'!$A$5:$A$124,$A24,'实时行情'!$C$5:$C$124,"PokerColor")</x:f>
        <x:v>0</x:v>
      </x:c>
      <x:c r="Q24" s="270" t="n">
        <x:f>IFERROR(MIN(_xlfn._xlws.FILTER(G24:K24,G24:K24&gt;0)),0)</x:f>
        <x:v>0</x:v>
      </x:c>
      <x:c r="R24" s="270" t="str">
        <x:f>IF(Q24=0,"",SUBSTITUTE(SUBSTITUTE(INDEX($G$4:$K$4,1,MATCH(Q24,G24:K24,0)),"买价",""),"Fanatics","Fanatics Collect"))</x:f>
      </x:c>
      <x:c r="S24" s="270" t="n">
        <x:f>IFERROR(MAX(_xlfn._xlws.FILTER(L24:P24,L24:P24&gt;0)),0)</x:f>
        <x:v>0</x:v>
      </x:c>
      <x:c r="T24" s="270" t="str">
        <x:f>IF(S24=0,"",SUBSTITUTE(SUBSTITUTE(INDEX($L$4:$P$4,1,MATCH(S24,L24:P24,0)),"卖价",""),"Fanatics","Fanatics Collect"))</x:f>
      </x:c>
      <x:c r="U24" s="270" t="n">
        <x:f>IF(Q24=0,0,Q24*(1+XLOOKUP(R24,'平台参数'!$A$5:$A$9,'平台参数'!$E$5:$E$9,0)+XLOOKUP(R24,'平台参数'!$A$5:$A$9,'平台参数'!$G$5:$G$9,0))+XLOOKUP(R24,'平台参数'!$A$5:$A$9,'平台参数'!$H$5:$H$9,0))</x:f>
        <x:v>0</x:v>
      </x:c>
      <x:c r="V24" s="270" t="n">
        <x:f>IF(S24=0,0,S24*(1-XLOOKUP(T24,'平台参数'!$A$5:$A$9,'平台参数'!$F$5:$F$9,0)-XLOOKUP(T24,'平台参数'!$A$5:$A$9,'平台参数'!$G$5:$G$9,0))-XLOOKUP(T24,'平台参数'!$A$5:$A$9,'平台参数'!$I$5:$I$9,0))</x:f>
        <x:v>0</x:v>
      </x:c>
      <x:c r="W24" s="270" t="n">
        <x:f>V24-U24</x:f>
        <x:v>0</x:v>
      </x:c>
      <x:c r="X24" s="271" t="n">
        <x:f>IFERROR(W24/U24,0)</x:f>
        <x:v>0</x:v>
      </x:c>
      <x:c r="Y24" s="271" t="n">
        <x:f>IFERROR((S24-Q24)/Q24,0)</x:f>
        <x:v>0</x:v>
      </x:c>
      <x:c r="Z24" s="272"/>
      <x:c r="AA24" s="272"/>
      <x:c r="AB24" s="272"/>
      <x:c r="AC24" s="272" t="str">
        <x:f>IF(A24="","",ROUND((Z24+AA24)*10+X24*100-AB24*8,1))</x:f>
      </x:c>
      <x:c r="AD24" s="269"/>
      <x:c r="AE24" s="270" t="n">
        <x:f>IF(T24="",0,(S24*(1-XLOOKUP(T24,'平台参数'!$A$5:$A$9,'平台参数'!$F$5:$F$9,0)-XLOOKUP(T24,'平台参数'!$A$5:$A$9,'平台参数'!$G$5:$G$9,0))-XLOOKUP(T24,'平台参数'!$A$5:$A$9,'平台参数'!$I$5:$I$9,0))/1.18)</x:f>
        <x:v>0</x:v>
      </x:c>
      <x:c r="AF24" s="273" t="str">
        <x:f>IF(A24="","",IFERROR(MAX(_xlfn._xlws.FILTER('实时行情'!$H$5:$H$124,'实时行情'!$A$5:$A$124=A24)),TODAY()))</x:f>
      </x:c>
      <x:c r="AG24" s="274"/>
    </x:row>
    <x:row r="25">
      <x:c r="A25" s="268"/>
      <x:c r="B25" s="269"/>
      <x:c r="C25" s="269"/>
      <x:c r="D25" s="269"/>
      <x:c r="E25" s="269"/>
      <x:c r="F25" s="269"/>
      <x:c r="G25" s="270" t="n">
        <x:f>SUMIFS('实时行情'!$D$5:$D$124,'实时行情'!$A$5:$A$124,$A25,'实时行情'!$C$5:$C$124,"eBay")</x:f>
        <x:v>0</x:v>
      </x:c>
      <x:c r="H25" s="270" t="n">
        <x:f>SUMIFS('实时行情'!$D$5:$D$124,'实时行情'!$A$5:$A$124,$A25,'实时行情'!$C$5:$C$124,"ALT")</x:f>
        <x:v>0</x:v>
      </x:c>
      <x:c r="I25" s="270" t="n">
        <x:f>SUMIFS('实时行情'!$D$5:$D$124,'实时行情'!$A$5:$A$124,$A25,'实时行情'!$C$5:$C$124,"Card Hobby")</x:f>
        <x:v>0</x:v>
      </x:c>
      <x:c r="J25" s="270" t="n">
        <x:f>SUMIFS('实时行情'!$D$5:$D$124,'实时行情'!$A$5:$A$124,$A25,'实时行情'!$C$5:$C$124,"Fanatics Collect")</x:f>
        <x:v>0</x:v>
      </x:c>
      <x:c r="K25" s="270" t="n">
        <x:f>SUMIFS('实时行情'!$D$5:$D$124,'实时行情'!$A$5:$A$124,$A25,'实时行情'!$C$5:$C$124,"PokerColor")</x:f>
        <x:v>0</x:v>
      </x:c>
      <x:c r="L25" s="270" t="n">
        <x:f>SUMIFS('实时行情'!$E$5:$E$124,'实时行情'!$A$5:$A$124,$A25,'实时行情'!$C$5:$C$124,"eBay")</x:f>
        <x:v>0</x:v>
      </x:c>
      <x:c r="M25" s="270" t="n">
        <x:f>SUMIFS('实时行情'!$E$5:$E$124,'实时行情'!$A$5:$A$124,$A25,'实时行情'!$C$5:$C$124,"ALT")</x:f>
        <x:v>0</x:v>
      </x:c>
      <x:c r="N25" s="270" t="n">
        <x:f>SUMIFS('实时行情'!$E$5:$E$124,'实时行情'!$A$5:$A$124,$A25,'实时行情'!$C$5:$C$124,"Card Hobby")</x:f>
        <x:v>0</x:v>
      </x:c>
      <x:c r="O25" s="270" t="n">
        <x:f>SUMIFS('实时行情'!$E$5:$E$124,'实时行情'!$A$5:$A$124,$A25,'实时行情'!$C$5:$C$124,"Fanatics Collect")</x:f>
        <x:v>0</x:v>
      </x:c>
      <x:c r="P25" s="270" t="n">
        <x:f>SUMIFS('实时行情'!$E$5:$E$124,'实时行情'!$A$5:$A$124,$A25,'实时行情'!$C$5:$C$124,"PokerColor")</x:f>
        <x:v>0</x:v>
      </x:c>
      <x:c r="Q25" s="270" t="n">
        <x:f>IFERROR(MIN(_xlfn._xlws.FILTER(G25:K25,G25:K25&gt;0)),0)</x:f>
        <x:v>0</x:v>
      </x:c>
      <x:c r="R25" s="270" t="str">
        <x:f>IF(Q25=0,"",SUBSTITUTE(SUBSTITUTE(INDEX($G$4:$K$4,1,MATCH(Q25,G25:K25,0)),"买价",""),"Fanatics","Fanatics Collect"))</x:f>
      </x:c>
      <x:c r="S25" s="270" t="n">
        <x:f>IFERROR(MAX(_xlfn._xlws.FILTER(L25:P25,L25:P25&gt;0)),0)</x:f>
        <x:v>0</x:v>
      </x:c>
      <x:c r="T25" s="270" t="str">
        <x:f>IF(S25=0,"",SUBSTITUTE(SUBSTITUTE(INDEX($L$4:$P$4,1,MATCH(S25,L25:P25,0)),"卖价",""),"Fanatics","Fanatics Collect"))</x:f>
      </x:c>
      <x:c r="U25" s="270" t="n">
        <x:f>IF(Q25=0,0,Q25*(1+XLOOKUP(R25,'平台参数'!$A$5:$A$9,'平台参数'!$E$5:$E$9,0)+XLOOKUP(R25,'平台参数'!$A$5:$A$9,'平台参数'!$G$5:$G$9,0))+XLOOKUP(R25,'平台参数'!$A$5:$A$9,'平台参数'!$H$5:$H$9,0))</x:f>
        <x:v>0</x:v>
      </x:c>
      <x:c r="V25" s="270" t="n">
        <x:f>IF(S25=0,0,S25*(1-XLOOKUP(T25,'平台参数'!$A$5:$A$9,'平台参数'!$F$5:$F$9,0)-XLOOKUP(T25,'平台参数'!$A$5:$A$9,'平台参数'!$G$5:$G$9,0))-XLOOKUP(T25,'平台参数'!$A$5:$A$9,'平台参数'!$I$5:$I$9,0))</x:f>
        <x:v>0</x:v>
      </x:c>
      <x:c r="W25" s="270" t="n">
        <x:f>V25-U25</x:f>
        <x:v>0</x:v>
      </x:c>
      <x:c r="X25" s="271" t="n">
        <x:f>IFERROR(W25/U25,0)</x:f>
        <x:v>0</x:v>
      </x:c>
      <x:c r="Y25" s="271" t="n">
        <x:f>IFERROR((S25-Q25)/Q25,0)</x:f>
        <x:v>0</x:v>
      </x:c>
      <x:c r="Z25" s="272"/>
      <x:c r="AA25" s="272"/>
      <x:c r="AB25" s="272"/>
      <x:c r="AC25" s="272" t="str">
        <x:f>IF(A25="","",ROUND((Z25+AA25)*10+X25*100-AB25*8,1))</x:f>
      </x:c>
      <x:c r="AD25" s="269"/>
      <x:c r="AE25" s="270" t="n">
        <x:f>IF(T25="",0,(S25*(1-XLOOKUP(T25,'平台参数'!$A$5:$A$9,'平台参数'!$F$5:$F$9,0)-XLOOKUP(T25,'平台参数'!$A$5:$A$9,'平台参数'!$G$5:$G$9,0))-XLOOKUP(T25,'平台参数'!$A$5:$A$9,'平台参数'!$I$5:$I$9,0))/1.18)</x:f>
        <x:v>0</x:v>
      </x:c>
      <x:c r="AF25" s="273" t="str">
        <x:f>IF(A25="","",IFERROR(MAX(_xlfn._xlws.FILTER('实时行情'!$H$5:$H$124,'实时行情'!$A$5:$A$124=A25)),TODAY()))</x:f>
      </x:c>
      <x:c r="AG25" s="274"/>
    </x:row>
    <x:row r="26">
      <x:c r="A26" s="268"/>
      <x:c r="B26" s="269"/>
      <x:c r="C26" s="269"/>
      <x:c r="D26" s="269"/>
      <x:c r="E26" s="269"/>
      <x:c r="F26" s="269"/>
      <x:c r="G26" s="270" t="n">
        <x:f>SUMIFS('实时行情'!$D$5:$D$124,'实时行情'!$A$5:$A$124,$A26,'实时行情'!$C$5:$C$124,"eBay")</x:f>
        <x:v>0</x:v>
      </x:c>
      <x:c r="H26" s="270" t="n">
        <x:f>SUMIFS('实时行情'!$D$5:$D$124,'实时行情'!$A$5:$A$124,$A26,'实时行情'!$C$5:$C$124,"ALT")</x:f>
        <x:v>0</x:v>
      </x:c>
      <x:c r="I26" s="270" t="n">
        <x:f>SUMIFS('实时行情'!$D$5:$D$124,'实时行情'!$A$5:$A$124,$A26,'实时行情'!$C$5:$C$124,"Card Hobby")</x:f>
        <x:v>0</x:v>
      </x:c>
      <x:c r="J26" s="270" t="n">
        <x:f>SUMIFS('实时行情'!$D$5:$D$124,'实时行情'!$A$5:$A$124,$A26,'实时行情'!$C$5:$C$124,"Fanatics Collect")</x:f>
        <x:v>0</x:v>
      </x:c>
      <x:c r="K26" s="270" t="n">
        <x:f>SUMIFS('实时行情'!$D$5:$D$124,'实时行情'!$A$5:$A$124,$A26,'实时行情'!$C$5:$C$124,"PokerColor")</x:f>
        <x:v>0</x:v>
      </x:c>
      <x:c r="L26" s="270" t="n">
        <x:f>SUMIFS('实时行情'!$E$5:$E$124,'实时行情'!$A$5:$A$124,$A26,'实时行情'!$C$5:$C$124,"eBay")</x:f>
        <x:v>0</x:v>
      </x:c>
      <x:c r="M26" s="270" t="n">
        <x:f>SUMIFS('实时行情'!$E$5:$E$124,'实时行情'!$A$5:$A$124,$A26,'实时行情'!$C$5:$C$124,"ALT")</x:f>
        <x:v>0</x:v>
      </x:c>
      <x:c r="N26" s="270" t="n">
        <x:f>SUMIFS('实时行情'!$E$5:$E$124,'实时行情'!$A$5:$A$124,$A26,'实时行情'!$C$5:$C$124,"Card Hobby")</x:f>
        <x:v>0</x:v>
      </x:c>
      <x:c r="O26" s="270" t="n">
        <x:f>SUMIFS('实时行情'!$E$5:$E$124,'实时行情'!$A$5:$A$124,$A26,'实时行情'!$C$5:$C$124,"Fanatics Collect")</x:f>
        <x:v>0</x:v>
      </x:c>
      <x:c r="P26" s="270" t="n">
        <x:f>SUMIFS('实时行情'!$E$5:$E$124,'实时行情'!$A$5:$A$124,$A26,'实时行情'!$C$5:$C$124,"PokerColor")</x:f>
        <x:v>0</x:v>
      </x:c>
      <x:c r="Q26" s="270" t="n">
        <x:f>IFERROR(MIN(_xlfn._xlws.FILTER(G26:K26,G26:K26&gt;0)),0)</x:f>
        <x:v>0</x:v>
      </x:c>
      <x:c r="R26" s="270" t="str">
        <x:f>IF(Q26=0,"",SUBSTITUTE(SUBSTITUTE(INDEX($G$4:$K$4,1,MATCH(Q26,G26:K26,0)),"买价",""),"Fanatics","Fanatics Collect"))</x:f>
      </x:c>
      <x:c r="S26" s="270" t="n">
        <x:f>IFERROR(MAX(_xlfn._xlws.FILTER(L26:P26,L26:P26&gt;0)),0)</x:f>
        <x:v>0</x:v>
      </x:c>
      <x:c r="T26" s="270" t="str">
        <x:f>IF(S26=0,"",SUBSTITUTE(SUBSTITUTE(INDEX($L$4:$P$4,1,MATCH(S26,L26:P26,0)),"卖价",""),"Fanatics","Fanatics Collect"))</x:f>
      </x:c>
      <x:c r="U26" s="270" t="n">
        <x:f>IF(Q26=0,0,Q26*(1+XLOOKUP(R26,'平台参数'!$A$5:$A$9,'平台参数'!$E$5:$E$9,0)+XLOOKUP(R26,'平台参数'!$A$5:$A$9,'平台参数'!$G$5:$G$9,0))+XLOOKUP(R26,'平台参数'!$A$5:$A$9,'平台参数'!$H$5:$H$9,0))</x:f>
        <x:v>0</x:v>
      </x:c>
      <x:c r="V26" s="270" t="n">
        <x:f>IF(S26=0,0,S26*(1-XLOOKUP(T26,'平台参数'!$A$5:$A$9,'平台参数'!$F$5:$F$9,0)-XLOOKUP(T26,'平台参数'!$A$5:$A$9,'平台参数'!$G$5:$G$9,0))-XLOOKUP(T26,'平台参数'!$A$5:$A$9,'平台参数'!$I$5:$I$9,0))</x:f>
        <x:v>0</x:v>
      </x:c>
      <x:c r="W26" s="270" t="n">
        <x:f>V26-U26</x:f>
        <x:v>0</x:v>
      </x:c>
      <x:c r="X26" s="271" t="n">
        <x:f>IFERROR(W26/U26,0)</x:f>
        <x:v>0</x:v>
      </x:c>
      <x:c r="Y26" s="271" t="n">
        <x:f>IFERROR((S26-Q26)/Q26,0)</x:f>
        <x:v>0</x:v>
      </x:c>
      <x:c r="Z26" s="272"/>
      <x:c r="AA26" s="272"/>
      <x:c r="AB26" s="272"/>
      <x:c r="AC26" s="272" t="str">
        <x:f>IF(A26="","",ROUND((Z26+AA26)*10+X26*100-AB26*8,1))</x:f>
      </x:c>
      <x:c r="AD26" s="269"/>
      <x:c r="AE26" s="270" t="n">
        <x:f>IF(T26="",0,(S26*(1-XLOOKUP(T26,'平台参数'!$A$5:$A$9,'平台参数'!$F$5:$F$9,0)-XLOOKUP(T26,'平台参数'!$A$5:$A$9,'平台参数'!$G$5:$G$9,0))-XLOOKUP(T26,'平台参数'!$A$5:$A$9,'平台参数'!$I$5:$I$9,0))/1.18)</x:f>
        <x:v>0</x:v>
      </x:c>
      <x:c r="AF26" s="273" t="str">
        <x:f>IF(A26="","",IFERROR(MAX(_xlfn._xlws.FILTER('实时行情'!$H$5:$H$124,'实时行情'!$A$5:$A$124=A26)),TODAY()))</x:f>
      </x:c>
      <x:c r="AG26" s="274"/>
    </x:row>
    <x:row r="27">
      <x:c r="A27" s="268"/>
      <x:c r="B27" s="269"/>
      <x:c r="C27" s="269"/>
      <x:c r="D27" s="269"/>
      <x:c r="E27" s="269"/>
      <x:c r="F27" s="269"/>
      <x:c r="G27" s="270" t="n">
        <x:f>SUMIFS('实时行情'!$D$5:$D$124,'实时行情'!$A$5:$A$124,$A27,'实时行情'!$C$5:$C$124,"eBay")</x:f>
        <x:v>0</x:v>
      </x:c>
      <x:c r="H27" s="270" t="n">
        <x:f>SUMIFS('实时行情'!$D$5:$D$124,'实时行情'!$A$5:$A$124,$A27,'实时行情'!$C$5:$C$124,"ALT")</x:f>
        <x:v>0</x:v>
      </x:c>
      <x:c r="I27" s="270" t="n">
        <x:f>SUMIFS('实时行情'!$D$5:$D$124,'实时行情'!$A$5:$A$124,$A27,'实时行情'!$C$5:$C$124,"Card Hobby")</x:f>
        <x:v>0</x:v>
      </x:c>
      <x:c r="J27" s="270" t="n">
        <x:f>SUMIFS('实时行情'!$D$5:$D$124,'实时行情'!$A$5:$A$124,$A27,'实时行情'!$C$5:$C$124,"Fanatics Collect")</x:f>
        <x:v>0</x:v>
      </x:c>
      <x:c r="K27" s="270" t="n">
        <x:f>SUMIFS('实时行情'!$D$5:$D$124,'实时行情'!$A$5:$A$124,$A27,'实时行情'!$C$5:$C$124,"PokerColor")</x:f>
        <x:v>0</x:v>
      </x:c>
      <x:c r="L27" s="270" t="n">
        <x:f>SUMIFS('实时行情'!$E$5:$E$124,'实时行情'!$A$5:$A$124,$A27,'实时行情'!$C$5:$C$124,"eBay")</x:f>
        <x:v>0</x:v>
      </x:c>
      <x:c r="M27" s="270" t="n">
        <x:f>SUMIFS('实时行情'!$E$5:$E$124,'实时行情'!$A$5:$A$124,$A27,'实时行情'!$C$5:$C$124,"ALT")</x:f>
        <x:v>0</x:v>
      </x:c>
      <x:c r="N27" s="270" t="n">
        <x:f>SUMIFS('实时行情'!$E$5:$E$124,'实时行情'!$A$5:$A$124,$A27,'实时行情'!$C$5:$C$124,"Card Hobby")</x:f>
        <x:v>0</x:v>
      </x:c>
      <x:c r="O27" s="270" t="n">
        <x:f>SUMIFS('实时行情'!$E$5:$E$124,'实时行情'!$A$5:$A$124,$A27,'实时行情'!$C$5:$C$124,"Fanatics Collect")</x:f>
        <x:v>0</x:v>
      </x:c>
      <x:c r="P27" s="270" t="n">
        <x:f>SUMIFS('实时行情'!$E$5:$E$124,'实时行情'!$A$5:$A$124,$A27,'实时行情'!$C$5:$C$124,"PokerColor")</x:f>
        <x:v>0</x:v>
      </x:c>
      <x:c r="Q27" s="270" t="n">
        <x:f>IFERROR(MIN(_xlfn._xlws.FILTER(G27:K27,G27:K27&gt;0)),0)</x:f>
        <x:v>0</x:v>
      </x:c>
      <x:c r="R27" s="270" t="str">
        <x:f>IF(Q27=0,"",SUBSTITUTE(SUBSTITUTE(INDEX($G$4:$K$4,1,MATCH(Q27,G27:K27,0)),"买价",""),"Fanatics","Fanatics Collect"))</x:f>
      </x:c>
      <x:c r="S27" s="270" t="n">
        <x:f>IFERROR(MAX(_xlfn._xlws.FILTER(L27:P27,L27:P27&gt;0)),0)</x:f>
        <x:v>0</x:v>
      </x:c>
      <x:c r="T27" s="270" t="str">
        <x:f>IF(S27=0,"",SUBSTITUTE(SUBSTITUTE(INDEX($L$4:$P$4,1,MATCH(S27,L27:P27,0)),"卖价",""),"Fanatics","Fanatics Collect"))</x:f>
      </x:c>
      <x:c r="U27" s="270" t="n">
        <x:f>IF(Q27=0,0,Q27*(1+XLOOKUP(R27,'平台参数'!$A$5:$A$9,'平台参数'!$E$5:$E$9,0)+XLOOKUP(R27,'平台参数'!$A$5:$A$9,'平台参数'!$G$5:$G$9,0))+XLOOKUP(R27,'平台参数'!$A$5:$A$9,'平台参数'!$H$5:$H$9,0))</x:f>
        <x:v>0</x:v>
      </x:c>
      <x:c r="V27" s="270" t="n">
        <x:f>IF(S27=0,0,S27*(1-XLOOKUP(T27,'平台参数'!$A$5:$A$9,'平台参数'!$F$5:$F$9,0)-XLOOKUP(T27,'平台参数'!$A$5:$A$9,'平台参数'!$G$5:$G$9,0))-XLOOKUP(T27,'平台参数'!$A$5:$A$9,'平台参数'!$I$5:$I$9,0))</x:f>
        <x:v>0</x:v>
      </x:c>
      <x:c r="W27" s="270" t="n">
        <x:f>V27-U27</x:f>
        <x:v>0</x:v>
      </x:c>
      <x:c r="X27" s="271" t="n">
        <x:f>IFERROR(W27/U27,0)</x:f>
        <x:v>0</x:v>
      </x:c>
      <x:c r="Y27" s="271" t="n">
        <x:f>IFERROR((S27-Q27)/Q27,0)</x:f>
        <x:v>0</x:v>
      </x:c>
      <x:c r="Z27" s="272"/>
      <x:c r="AA27" s="272"/>
      <x:c r="AB27" s="272"/>
      <x:c r="AC27" s="272" t="str">
        <x:f>IF(A27="","",ROUND((Z27+AA27)*10+X27*100-AB27*8,1))</x:f>
      </x:c>
      <x:c r="AD27" s="269"/>
      <x:c r="AE27" s="270" t="n">
        <x:f>IF(T27="",0,(S27*(1-XLOOKUP(T27,'平台参数'!$A$5:$A$9,'平台参数'!$F$5:$F$9,0)-XLOOKUP(T27,'平台参数'!$A$5:$A$9,'平台参数'!$G$5:$G$9,0))-XLOOKUP(T27,'平台参数'!$A$5:$A$9,'平台参数'!$I$5:$I$9,0))/1.18)</x:f>
        <x:v>0</x:v>
      </x:c>
      <x:c r="AF27" s="273" t="str">
        <x:f>IF(A27="","",IFERROR(MAX(_xlfn._xlws.FILTER('实时行情'!$H$5:$H$124,'实时行情'!$A$5:$A$124=A27)),TODAY()))</x:f>
      </x:c>
      <x:c r="AG27" s="274"/>
    </x:row>
    <x:row r="28">
      <x:c r="A28" s="268"/>
      <x:c r="B28" s="269"/>
      <x:c r="C28" s="269"/>
      <x:c r="D28" s="269"/>
      <x:c r="E28" s="269"/>
      <x:c r="F28" s="269"/>
      <x:c r="G28" s="270" t="n">
        <x:f>SUMIFS('实时行情'!$D$5:$D$124,'实时行情'!$A$5:$A$124,$A28,'实时行情'!$C$5:$C$124,"eBay")</x:f>
        <x:v>0</x:v>
      </x:c>
      <x:c r="H28" s="270" t="n">
        <x:f>SUMIFS('实时行情'!$D$5:$D$124,'实时行情'!$A$5:$A$124,$A28,'实时行情'!$C$5:$C$124,"ALT")</x:f>
        <x:v>0</x:v>
      </x:c>
      <x:c r="I28" s="270" t="n">
        <x:f>SUMIFS('实时行情'!$D$5:$D$124,'实时行情'!$A$5:$A$124,$A28,'实时行情'!$C$5:$C$124,"Card Hobby")</x:f>
        <x:v>0</x:v>
      </x:c>
      <x:c r="J28" s="270" t="n">
        <x:f>SUMIFS('实时行情'!$D$5:$D$124,'实时行情'!$A$5:$A$124,$A28,'实时行情'!$C$5:$C$124,"Fanatics Collect")</x:f>
        <x:v>0</x:v>
      </x:c>
      <x:c r="K28" s="270" t="n">
        <x:f>SUMIFS('实时行情'!$D$5:$D$124,'实时行情'!$A$5:$A$124,$A28,'实时行情'!$C$5:$C$124,"PokerColor")</x:f>
        <x:v>0</x:v>
      </x:c>
      <x:c r="L28" s="270" t="n">
        <x:f>SUMIFS('实时行情'!$E$5:$E$124,'实时行情'!$A$5:$A$124,$A28,'实时行情'!$C$5:$C$124,"eBay")</x:f>
        <x:v>0</x:v>
      </x:c>
      <x:c r="M28" s="270" t="n">
        <x:f>SUMIFS('实时行情'!$E$5:$E$124,'实时行情'!$A$5:$A$124,$A28,'实时行情'!$C$5:$C$124,"ALT")</x:f>
        <x:v>0</x:v>
      </x:c>
      <x:c r="N28" s="270" t="n">
        <x:f>SUMIFS('实时行情'!$E$5:$E$124,'实时行情'!$A$5:$A$124,$A28,'实时行情'!$C$5:$C$124,"Card Hobby")</x:f>
        <x:v>0</x:v>
      </x:c>
      <x:c r="O28" s="270" t="n">
        <x:f>SUMIFS('实时行情'!$E$5:$E$124,'实时行情'!$A$5:$A$124,$A28,'实时行情'!$C$5:$C$124,"Fanatics Collect")</x:f>
        <x:v>0</x:v>
      </x:c>
      <x:c r="P28" s="270" t="n">
        <x:f>SUMIFS('实时行情'!$E$5:$E$124,'实时行情'!$A$5:$A$124,$A28,'实时行情'!$C$5:$C$124,"PokerColor")</x:f>
        <x:v>0</x:v>
      </x:c>
      <x:c r="Q28" s="270" t="n">
        <x:f>IFERROR(MIN(_xlfn._xlws.FILTER(G28:K28,G28:K28&gt;0)),0)</x:f>
        <x:v>0</x:v>
      </x:c>
      <x:c r="R28" s="270" t="str">
        <x:f>IF(Q28=0,"",SUBSTITUTE(SUBSTITUTE(INDEX($G$4:$K$4,1,MATCH(Q28,G28:K28,0)),"买价",""),"Fanatics","Fanatics Collect"))</x:f>
      </x:c>
      <x:c r="S28" s="270" t="n">
        <x:f>IFERROR(MAX(_xlfn._xlws.FILTER(L28:P28,L28:P28&gt;0)),0)</x:f>
        <x:v>0</x:v>
      </x:c>
      <x:c r="T28" s="270" t="str">
        <x:f>IF(S28=0,"",SUBSTITUTE(SUBSTITUTE(INDEX($L$4:$P$4,1,MATCH(S28,L28:P28,0)),"卖价",""),"Fanatics","Fanatics Collect"))</x:f>
      </x:c>
      <x:c r="U28" s="270" t="n">
        <x:f>IF(Q28=0,0,Q28*(1+XLOOKUP(R28,'平台参数'!$A$5:$A$9,'平台参数'!$E$5:$E$9,0)+XLOOKUP(R28,'平台参数'!$A$5:$A$9,'平台参数'!$G$5:$G$9,0))+XLOOKUP(R28,'平台参数'!$A$5:$A$9,'平台参数'!$H$5:$H$9,0))</x:f>
        <x:v>0</x:v>
      </x:c>
      <x:c r="V28" s="270" t="n">
        <x:f>IF(S28=0,0,S28*(1-XLOOKUP(T28,'平台参数'!$A$5:$A$9,'平台参数'!$F$5:$F$9,0)-XLOOKUP(T28,'平台参数'!$A$5:$A$9,'平台参数'!$G$5:$G$9,0))-XLOOKUP(T28,'平台参数'!$A$5:$A$9,'平台参数'!$I$5:$I$9,0))</x:f>
        <x:v>0</x:v>
      </x:c>
      <x:c r="W28" s="270" t="n">
        <x:f>V28-U28</x:f>
        <x:v>0</x:v>
      </x:c>
      <x:c r="X28" s="271" t="n">
        <x:f>IFERROR(W28/U28,0)</x:f>
        <x:v>0</x:v>
      </x:c>
      <x:c r="Y28" s="271" t="n">
        <x:f>IFERROR((S28-Q28)/Q28,0)</x:f>
        <x:v>0</x:v>
      </x:c>
      <x:c r="Z28" s="272"/>
      <x:c r="AA28" s="272"/>
      <x:c r="AB28" s="272"/>
      <x:c r="AC28" s="272" t="str">
        <x:f>IF(A28="","",ROUND((Z28+AA28)*10+X28*100-AB28*8,1))</x:f>
      </x:c>
      <x:c r="AD28" s="269"/>
      <x:c r="AE28" s="270" t="n">
        <x:f>IF(T28="",0,(S28*(1-XLOOKUP(T28,'平台参数'!$A$5:$A$9,'平台参数'!$F$5:$F$9,0)-XLOOKUP(T28,'平台参数'!$A$5:$A$9,'平台参数'!$G$5:$G$9,0))-XLOOKUP(T28,'平台参数'!$A$5:$A$9,'平台参数'!$I$5:$I$9,0))/1.18)</x:f>
        <x:v>0</x:v>
      </x:c>
      <x:c r="AF28" s="273" t="str">
        <x:f>IF(A28="","",IFERROR(MAX(_xlfn._xlws.FILTER('实时行情'!$H$5:$H$124,'实时行情'!$A$5:$A$124=A28)),TODAY()))</x:f>
      </x:c>
      <x:c r="AG28" s="274"/>
    </x:row>
    <x:row r="29">
      <x:c r="A29" s="268"/>
      <x:c r="B29" s="269"/>
      <x:c r="C29" s="269"/>
      <x:c r="D29" s="269"/>
      <x:c r="E29" s="269"/>
      <x:c r="F29" s="269"/>
      <x:c r="G29" s="270" t="n">
        <x:f>SUMIFS('实时行情'!$D$5:$D$124,'实时行情'!$A$5:$A$124,$A29,'实时行情'!$C$5:$C$124,"eBay")</x:f>
        <x:v>0</x:v>
      </x:c>
      <x:c r="H29" s="270" t="n">
        <x:f>SUMIFS('实时行情'!$D$5:$D$124,'实时行情'!$A$5:$A$124,$A29,'实时行情'!$C$5:$C$124,"ALT")</x:f>
        <x:v>0</x:v>
      </x:c>
      <x:c r="I29" s="270" t="n">
        <x:f>SUMIFS('实时行情'!$D$5:$D$124,'实时行情'!$A$5:$A$124,$A29,'实时行情'!$C$5:$C$124,"Card Hobby")</x:f>
        <x:v>0</x:v>
      </x:c>
      <x:c r="J29" s="270" t="n">
        <x:f>SUMIFS('实时行情'!$D$5:$D$124,'实时行情'!$A$5:$A$124,$A29,'实时行情'!$C$5:$C$124,"Fanatics Collect")</x:f>
        <x:v>0</x:v>
      </x:c>
      <x:c r="K29" s="270" t="n">
        <x:f>SUMIFS('实时行情'!$D$5:$D$124,'实时行情'!$A$5:$A$124,$A29,'实时行情'!$C$5:$C$124,"PokerColor")</x:f>
        <x:v>0</x:v>
      </x:c>
      <x:c r="L29" s="270" t="n">
        <x:f>SUMIFS('实时行情'!$E$5:$E$124,'实时行情'!$A$5:$A$124,$A29,'实时行情'!$C$5:$C$124,"eBay")</x:f>
        <x:v>0</x:v>
      </x:c>
      <x:c r="M29" s="270" t="n">
        <x:f>SUMIFS('实时行情'!$E$5:$E$124,'实时行情'!$A$5:$A$124,$A29,'实时行情'!$C$5:$C$124,"ALT")</x:f>
        <x:v>0</x:v>
      </x:c>
      <x:c r="N29" s="270" t="n">
        <x:f>SUMIFS('实时行情'!$E$5:$E$124,'实时行情'!$A$5:$A$124,$A29,'实时行情'!$C$5:$C$124,"Card Hobby")</x:f>
        <x:v>0</x:v>
      </x:c>
      <x:c r="O29" s="270" t="n">
        <x:f>SUMIFS('实时行情'!$E$5:$E$124,'实时行情'!$A$5:$A$124,$A29,'实时行情'!$C$5:$C$124,"Fanatics Collect")</x:f>
        <x:v>0</x:v>
      </x:c>
      <x:c r="P29" s="270" t="n">
        <x:f>SUMIFS('实时行情'!$E$5:$E$124,'实时行情'!$A$5:$A$124,$A29,'实时行情'!$C$5:$C$124,"PokerColor")</x:f>
        <x:v>0</x:v>
      </x:c>
      <x:c r="Q29" s="270" t="n">
        <x:f>IFERROR(MIN(_xlfn._xlws.FILTER(G29:K29,G29:K29&gt;0)),0)</x:f>
        <x:v>0</x:v>
      </x:c>
      <x:c r="R29" s="270" t="str">
        <x:f>IF(Q29=0,"",SUBSTITUTE(SUBSTITUTE(INDEX($G$4:$K$4,1,MATCH(Q29,G29:K29,0)),"买价",""),"Fanatics","Fanatics Collect"))</x:f>
      </x:c>
      <x:c r="S29" s="270" t="n">
        <x:f>IFERROR(MAX(_xlfn._xlws.FILTER(L29:P29,L29:P29&gt;0)),0)</x:f>
        <x:v>0</x:v>
      </x:c>
      <x:c r="T29" s="270" t="str">
        <x:f>IF(S29=0,"",SUBSTITUTE(SUBSTITUTE(INDEX($L$4:$P$4,1,MATCH(S29,L29:P29,0)),"卖价",""),"Fanatics","Fanatics Collect"))</x:f>
      </x:c>
      <x:c r="U29" s="270" t="n">
        <x:f>IF(Q29=0,0,Q29*(1+XLOOKUP(R29,'平台参数'!$A$5:$A$9,'平台参数'!$E$5:$E$9,0)+XLOOKUP(R29,'平台参数'!$A$5:$A$9,'平台参数'!$G$5:$G$9,0))+XLOOKUP(R29,'平台参数'!$A$5:$A$9,'平台参数'!$H$5:$H$9,0))</x:f>
        <x:v>0</x:v>
      </x:c>
      <x:c r="V29" s="270" t="n">
        <x:f>IF(S29=0,0,S29*(1-XLOOKUP(T29,'平台参数'!$A$5:$A$9,'平台参数'!$F$5:$F$9,0)-XLOOKUP(T29,'平台参数'!$A$5:$A$9,'平台参数'!$G$5:$G$9,0))-XLOOKUP(T29,'平台参数'!$A$5:$A$9,'平台参数'!$I$5:$I$9,0))</x:f>
        <x:v>0</x:v>
      </x:c>
      <x:c r="W29" s="270" t="n">
        <x:f>V29-U29</x:f>
        <x:v>0</x:v>
      </x:c>
      <x:c r="X29" s="271" t="n">
        <x:f>IFERROR(W29/U29,0)</x:f>
        <x:v>0</x:v>
      </x:c>
      <x:c r="Y29" s="271" t="n">
        <x:f>IFERROR((S29-Q29)/Q29,0)</x:f>
        <x:v>0</x:v>
      </x:c>
      <x:c r="Z29" s="272"/>
      <x:c r="AA29" s="272"/>
      <x:c r="AB29" s="272"/>
      <x:c r="AC29" s="272" t="str">
        <x:f>IF(A29="","",ROUND((Z29+AA29)*10+X29*100-AB29*8,1))</x:f>
      </x:c>
      <x:c r="AD29" s="269"/>
      <x:c r="AE29" s="270" t="n">
        <x:f>IF(T29="",0,(S29*(1-XLOOKUP(T29,'平台参数'!$A$5:$A$9,'平台参数'!$F$5:$F$9,0)-XLOOKUP(T29,'平台参数'!$A$5:$A$9,'平台参数'!$G$5:$G$9,0))-XLOOKUP(T29,'平台参数'!$A$5:$A$9,'平台参数'!$I$5:$I$9,0))/1.18)</x:f>
        <x:v>0</x:v>
      </x:c>
      <x:c r="AF29" s="273" t="str">
        <x:f>IF(A29="","",IFERROR(MAX(_xlfn._xlws.FILTER('实时行情'!$H$5:$H$124,'实时行情'!$A$5:$A$124=A29)),TODAY()))</x:f>
      </x:c>
      <x:c r="AG29" s="274"/>
    </x:row>
    <x:row r="30">
      <x:c r="A30" s="268"/>
      <x:c r="B30" s="269"/>
      <x:c r="C30" s="269"/>
      <x:c r="D30" s="269"/>
      <x:c r="E30" s="269"/>
      <x:c r="F30" s="269"/>
      <x:c r="G30" s="270" t="n">
        <x:f>SUMIFS('实时行情'!$D$5:$D$124,'实时行情'!$A$5:$A$124,$A30,'实时行情'!$C$5:$C$124,"eBay")</x:f>
        <x:v>0</x:v>
      </x:c>
      <x:c r="H30" s="270" t="n">
        <x:f>SUMIFS('实时行情'!$D$5:$D$124,'实时行情'!$A$5:$A$124,$A30,'实时行情'!$C$5:$C$124,"ALT")</x:f>
        <x:v>0</x:v>
      </x:c>
      <x:c r="I30" s="270" t="n">
        <x:f>SUMIFS('实时行情'!$D$5:$D$124,'实时行情'!$A$5:$A$124,$A30,'实时行情'!$C$5:$C$124,"Card Hobby")</x:f>
        <x:v>0</x:v>
      </x:c>
      <x:c r="J30" s="270" t="n">
        <x:f>SUMIFS('实时行情'!$D$5:$D$124,'实时行情'!$A$5:$A$124,$A30,'实时行情'!$C$5:$C$124,"Fanatics Collect")</x:f>
        <x:v>0</x:v>
      </x:c>
      <x:c r="K30" s="270" t="n">
        <x:f>SUMIFS('实时行情'!$D$5:$D$124,'实时行情'!$A$5:$A$124,$A30,'实时行情'!$C$5:$C$124,"PokerColor")</x:f>
        <x:v>0</x:v>
      </x:c>
      <x:c r="L30" s="270" t="n">
        <x:f>SUMIFS('实时行情'!$E$5:$E$124,'实时行情'!$A$5:$A$124,$A30,'实时行情'!$C$5:$C$124,"eBay")</x:f>
        <x:v>0</x:v>
      </x:c>
      <x:c r="M30" s="270" t="n">
        <x:f>SUMIFS('实时行情'!$E$5:$E$124,'实时行情'!$A$5:$A$124,$A30,'实时行情'!$C$5:$C$124,"ALT")</x:f>
        <x:v>0</x:v>
      </x:c>
      <x:c r="N30" s="270" t="n">
        <x:f>SUMIFS('实时行情'!$E$5:$E$124,'实时行情'!$A$5:$A$124,$A30,'实时行情'!$C$5:$C$124,"Card Hobby")</x:f>
        <x:v>0</x:v>
      </x:c>
      <x:c r="O30" s="270" t="n">
        <x:f>SUMIFS('实时行情'!$E$5:$E$124,'实时行情'!$A$5:$A$124,$A30,'实时行情'!$C$5:$C$124,"Fanatics Collect")</x:f>
        <x:v>0</x:v>
      </x:c>
      <x:c r="P30" s="270" t="n">
        <x:f>SUMIFS('实时行情'!$E$5:$E$124,'实时行情'!$A$5:$A$124,$A30,'实时行情'!$C$5:$C$124,"PokerColor")</x:f>
        <x:v>0</x:v>
      </x:c>
      <x:c r="Q30" s="270" t="n">
        <x:f>IFERROR(MIN(_xlfn._xlws.FILTER(G30:K30,G30:K30&gt;0)),0)</x:f>
        <x:v>0</x:v>
      </x:c>
      <x:c r="R30" s="270" t="str">
        <x:f>IF(Q30=0,"",SUBSTITUTE(SUBSTITUTE(INDEX($G$4:$K$4,1,MATCH(Q30,G30:K30,0)),"买价",""),"Fanatics","Fanatics Collect"))</x:f>
      </x:c>
      <x:c r="S30" s="270" t="n">
        <x:f>IFERROR(MAX(_xlfn._xlws.FILTER(L30:P30,L30:P30&gt;0)),0)</x:f>
        <x:v>0</x:v>
      </x:c>
      <x:c r="T30" s="270" t="str">
        <x:f>IF(S30=0,"",SUBSTITUTE(SUBSTITUTE(INDEX($L$4:$P$4,1,MATCH(S30,L30:P30,0)),"卖价",""),"Fanatics","Fanatics Collect"))</x:f>
      </x:c>
      <x:c r="U30" s="270" t="n">
        <x:f>IF(Q30=0,0,Q30*(1+XLOOKUP(R30,'平台参数'!$A$5:$A$9,'平台参数'!$E$5:$E$9,0)+XLOOKUP(R30,'平台参数'!$A$5:$A$9,'平台参数'!$G$5:$G$9,0))+XLOOKUP(R30,'平台参数'!$A$5:$A$9,'平台参数'!$H$5:$H$9,0))</x:f>
        <x:v>0</x:v>
      </x:c>
      <x:c r="V30" s="270" t="n">
        <x:f>IF(S30=0,0,S30*(1-XLOOKUP(T30,'平台参数'!$A$5:$A$9,'平台参数'!$F$5:$F$9,0)-XLOOKUP(T30,'平台参数'!$A$5:$A$9,'平台参数'!$G$5:$G$9,0))-XLOOKUP(T30,'平台参数'!$A$5:$A$9,'平台参数'!$I$5:$I$9,0))</x:f>
        <x:v>0</x:v>
      </x:c>
      <x:c r="W30" s="270" t="n">
        <x:f>V30-U30</x:f>
        <x:v>0</x:v>
      </x:c>
      <x:c r="X30" s="271" t="n">
        <x:f>IFERROR(W30/U30,0)</x:f>
        <x:v>0</x:v>
      </x:c>
      <x:c r="Y30" s="271" t="n">
        <x:f>IFERROR((S30-Q30)/Q30,0)</x:f>
        <x:v>0</x:v>
      </x:c>
      <x:c r="Z30" s="272"/>
      <x:c r="AA30" s="272"/>
      <x:c r="AB30" s="272"/>
      <x:c r="AC30" s="272" t="str">
        <x:f>IF(A30="","",ROUND((Z30+AA30)*10+X30*100-AB30*8,1))</x:f>
      </x:c>
      <x:c r="AD30" s="269"/>
      <x:c r="AE30" s="270" t="n">
        <x:f>IF(T30="",0,(S30*(1-XLOOKUP(T30,'平台参数'!$A$5:$A$9,'平台参数'!$F$5:$F$9,0)-XLOOKUP(T30,'平台参数'!$A$5:$A$9,'平台参数'!$G$5:$G$9,0))-XLOOKUP(T30,'平台参数'!$A$5:$A$9,'平台参数'!$I$5:$I$9,0))/1.18)</x:f>
        <x:v>0</x:v>
      </x:c>
      <x:c r="AF30" s="273" t="str">
        <x:f>IF(A30="","",IFERROR(MAX(_xlfn._xlws.FILTER('实时行情'!$H$5:$H$124,'实时行情'!$A$5:$A$124=A30)),TODAY()))</x:f>
      </x:c>
      <x:c r="AG30" s="274"/>
    </x:row>
    <x:row r="31">
      <x:c r="A31" s="268"/>
      <x:c r="B31" s="269"/>
      <x:c r="C31" s="269"/>
      <x:c r="D31" s="269"/>
      <x:c r="E31" s="269"/>
      <x:c r="F31" s="269"/>
      <x:c r="G31" s="270" t="n">
        <x:f>SUMIFS('实时行情'!$D$5:$D$124,'实时行情'!$A$5:$A$124,$A31,'实时行情'!$C$5:$C$124,"eBay")</x:f>
        <x:v>0</x:v>
      </x:c>
      <x:c r="H31" s="270" t="n">
        <x:f>SUMIFS('实时行情'!$D$5:$D$124,'实时行情'!$A$5:$A$124,$A31,'实时行情'!$C$5:$C$124,"ALT")</x:f>
        <x:v>0</x:v>
      </x:c>
      <x:c r="I31" s="270" t="n">
        <x:f>SUMIFS('实时行情'!$D$5:$D$124,'实时行情'!$A$5:$A$124,$A31,'实时行情'!$C$5:$C$124,"Card Hobby")</x:f>
        <x:v>0</x:v>
      </x:c>
      <x:c r="J31" s="270" t="n">
        <x:f>SUMIFS('实时行情'!$D$5:$D$124,'实时行情'!$A$5:$A$124,$A31,'实时行情'!$C$5:$C$124,"Fanatics Collect")</x:f>
        <x:v>0</x:v>
      </x:c>
      <x:c r="K31" s="270" t="n">
        <x:f>SUMIFS('实时行情'!$D$5:$D$124,'实时行情'!$A$5:$A$124,$A31,'实时行情'!$C$5:$C$124,"PokerColor")</x:f>
        <x:v>0</x:v>
      </x:c>
      <x:c r="L31" s="270" t="n">
        <x:f>SUMIFS('实时行情'!$E$5:$E$124,'实时行情'!$A$5:$A$124,$A31,'实时行情'!$C$5:$C$124,"eBay")</x:f>
        <x:v>0</x:v>
      </x:c>
      <x:c r="M31" s="270" t="n">
        <x:f>SUMIFS('实时行情'!$E$5:$E$124,'实时行情'!$A$5:$A$124,$A31,'实时行情'!$C$5:$C$124,"ALT")</x:f>
        <x:v>0</x:v>
      </x:c>
      <x:c r="N31" s="270" t="n">
        <x:f>SUMIFS('实时行情'!$E$5:$E$124,'实时行情'!$A$5:$A$124,$A31,'实时行情'!$C$5:$C$124,"Card Hobby")</x:f>
        <x:v>0</x:v>
      </x:c>
      <x:c r="O31" s="270" t="n">
        <x:f>SUMIFS('实时行情'!$E$5:$E$124,'实时行情'!$A$5:$A$124,$A31,'实时行情'!$C$5:$C$124,"Fanatics Collect")</x:f>
        <x:v>0</x:v>
      </x:c>
      <x:c r="P31" s="270" t="n">
        <x:f>SUMIFS('实时行情'!$E$5:$E$124,'实时行情'!$A$5:$A$124,$A31,'实时行情'!$C$5:$C$124,"PokerColor")</x:f>
        <x:v>0</x:v>
      </x:c>
      <x:c r="Q31" s="270" t="n">
        <x:f>IFERROR(MIN(_xlfn._xlws.FILTER(G31:K31,G31:K31&gt;0)),0)</x:f>
        <x:v>0</x:v>
      </x:c>
      <x:c r="R31" s="270" t="str">
        <x:f>IF(Q31=0,"",SUBSTITUTE(SUBSTITUTE(INDEX($G$4:$K$4,1,MATCH(Q31,G31:K31,0)),"买价",""),"Fanatics","Fanatics Collect"))</x:f>
      </x:c>
      <x:c r="S31" s="270" t="n">
        <x:f>IFERROR(MAX(_xlfn._xlws.FILTER(L31:P31,L31:P31&gt;0)),0)</x:f>
        <x:v>0</x:v>
      </x:c>
      <x:c r="T31" s="270" t="str">
        <x:f>IF(S31=0,"",SUBSTITUTE(SUBSTITUTE(INDEX($L$4:$P$4,1,MATCH(S31,L31:P31,0)),"卖价",""),"Fanatics","Fanatics Collect"))</x:f>
      </x:c>
      <x:c r="U31" s="270" t="n">
        <x:f>IF(Q31=0,0,Q31*(1+XLOOKUP(R31,'平台参数'!$A$5:$A$9,'平台参数'!$E$5:$E$9,0)+XLOOKUP(R31,'平台参数'!$A$5:$A$9,'平台参数'!$G$5:$G$9,0))+XLOOKUP(R31,'平台参数'!$A$5:$A$9,'平台参数'!$H$5:$H$9,0))</x:f>
        <x:v>0</x:v>
      </x:c>
      <x:c r="V31" s="270" t="n">
        <x:f>IF(S31=0,0,S31*(1-XLOOKUP(T31,'平台参数'!$A$5:$A$9,'平台参数'!$F$5:$F$9,0)-XLOOKUP(T31,'平台参数'!$A$5:$A$9,'平台参数'!$G$5:$G$9,0))-XLOOKUP(T31,'平台参数'!$A$5:$A$9,'平台参数'!$I$5:$I$9,0))</x:f>
        <x:v>0</x:v>
      </x:c>
      <x:c r="W31" s="270" t="n">
        <x:f>V31-U31</x:f>
        <x:v>0</x:v>
      </x:c>
      <x:c r="X31" s="271" t="n">
        <x:f>IFERROR(W31/U31,0)</x:f>
        <x:v>0</x:v>
      </x:c>
      <x:c r="Y31" s="271" t="n">
        <x:f>IFERROR((S31-Q31)/Q31,0)</x:f>
        <x:v>0</x:v>
      </x:c>
      <x:c r="Z31" s="272"/>
      <x:c r="AA31" s="272"/>
      <x:c r="AB31" s="272"/>
      <x:c r="AC31" s="272" t="str">
        <x:f>IF(A31="","",ROUND((Z31+AA31)*10+X31*100-AB31*8,1))</x:f>
      </x:c>
      <x:c r="AD31" s="269"/>
      <x:c r="AE31" s="270" t="n">
        <x:f>IF(T31="",0,(S31*(1-XLOOKUP(T31,'平台参数'!$A$5:$A$9,'平台参数'!$F$5:$F$9,0)-XLOOKUP(T31,'平台参数'!$A$5:$A$9,'平台参数'!$G$5:$G$9,0))-XLOOKUP(T31,'平台参数'!$A$5:$A$9,'平台参数'!$I$5:$I$9,0))/1.18)</x:f>
        <x:v>0</x:v>
      </x:c>
      <x:c r="AF31" s="273" t="str">
        <x:f>IF(A31="","",IFERROR(MAX(_xlfn._xlws.FILTER('实时行情'!$H$5:$H$124,'实时行情'!$A$5:$A$124=A31)),TODAY()))</x:f>
      </x:c>
      <x:c r="AG31" s="274"/>
    </x:row>
    <x:row r="32">
      <x:c r="A32" s="268"/>
      <x:c r="B32" s="269"/>
      <x:c r="C32" s="269"/>
      <x:c r="D32" s="269"/>
      <x:c r="E32" s="269"/>
      <x:c r="F32" s="269"/>
      <x:c r="G32" s="270" t="n">
        <x:f>SUMIFS('实时行情'!$D$5:$D$124,'实时行情'!$A$5:$A$124,$A32,'实时行情'!$C$5:$C$124,"eBay")</x:f>
        <x:v>0</x:v>
      </x:c>
      <x:c r="H32" s="270" t="n">
        <x:f>SUMIFS('实时行情'!$D$5:$D$124,'实时行情'!$A$5:$A$124,$A32,'实时行情'!$C$5:$C$124,"ALT")</x:f>
        <x:v>0</x:v>
      </x:c>
      <x:c r="I32" s="270" t="n">
        <x:f>SUMIFS('实时行情'!$D$5:$D$124,'实时行情'!$A$5:$A$124,$A32,'实时行情'!$C$5:$C$124,"Card Hobby")</x:f>
        <x:v>0</x:v>
      </x:c>
      <x:c r="J32" s="270" t="n">
        <x:f>SUMIFS('实时行情'!$D$5:$D$124,'实时行情'!$A$5:$A$124,$A32,'实时行情'!$C$5:$C$124,"Fanatics Collect")</x:f>
        <x:v>0</x:v>
      </x:c>
      <x:c r="K32" s="270" t="n">
        <x:f>SUMIFS('实时行情'!$D$5:$D$124,'实时行情'!$A$5:$A$124,$A32,'实时行情'!$C$5:$C$124,"PokerColor")</x:f>
        <x:v>0</x:v>
      </x:c>
      <x:c r="L32" s="270" t="n">
        <x:f>SUMIFS('实时行情'!$E$5:$E$124,'实时行情'!$A$5:$A$124,$A32,'实时行情'!$C$5:$C$124,"eBay")</x:f>
        <x:v>0</x:v>
      </x:c>
      <x:c r="M32" s="270" t="n">
        <x:f>SUMIFS('实时行情'!$E$5:$E$124,'实时行情'!$A$5:$A$124,$A32,'实时行情'!$C$5:$C$124,"ALT")</x:f>
        <x:v>0</x:v>
      </x:c>
      <x:c r="N32" s="270" t="n">
        <x:f>SUMIFS('实时行情'!$E$5:$E$124,'实时行情'!$A$5:$A$124,$A32,'实时行情'!$C$5:$C$124,"Card Hobby")</x:f>
        <x:v>0</x:v>
      </x:c>
      <x:c r="O32" s="270" t="n">
        <x:f>SUMIFS('实时行情'!$E$5:$E$124,'实时行情'!$A$5:$A$124,$A32,'实时行情'!$C$5:$C$124,"Fanatics Collect")</x:f>
        <x:v>0</x:v>
      </x:c>
      <x:c r="P32" s="270" t="n">
        <x:f>SUMIFS('实时行情'!$E$5:$E$124,'实时行情'!$A$5:$A$124,$A32,'实时行情'!$C$5:$C$124,"PokerColor")</x:f>
        <x:v>0</x:v>
      </x:c>
      <x:c r="Q32" s="270" t="n">
        <x:f>IFERROR(MIN(_xlfn._xlws.FILTER(G32:K32,G32:K32&gt;0)),0)</x:f>
        <x:v>0</x:v>
      </x:c>
      <x:c r="R32" s="270" t="str">
        <x:f>IF(Q32=0,"",SUBSTITUTE(SUBSTITUTE(INDEX($G$4:$K$4,1,MATCH(Q32,G32:K32,0)),"买价",""),"Fanatics","Fanatics Collect"))</x:f>
      </x:c>
      <x:c r="S32" s="270" t="n">
        <x:f>IFERROR(MAX(_xlfn._xlws.FILTER(L32:P32,L32:P32&gt;0)),0)</x:f>
        <x:v>0</x:v>
      </x:c>
      <x:c r="T32" s="270" t="str">
        <x:f>IF(S32=0,"",SUBSTITUTE(SUBSTITUTE(INDEX($L$4:$P$4,1,MATCH(S32,L32:P32,0)),"卖价",""),"Fanatics","Fanatics Collect"))</x:f>
      </x:c>
      <x:c r="U32" s="270" t="n">
        <x:f>IF(Q32=0,0,Q32*(1+XLOOKUP(R32,'平台参数'!$A$5:$A$9,'平台参数'!$E$5:$E$9,0)+XLOOKUP(R32,'平台参数'!$A$5:$A$9,'平台参数'!$G$5:$G$9,0))+XLOOKUP(R32,'平台参数'!$A$5:$A$9,'平台参数'!$H$5:$H$9,0))</x:f>
        <x:v>0</x:v>
      </x:c>
      <x:c r="V32" s="270" t="n">
        <x:f>IF(S32=0,0,S32*(1-XLOOKUP(T32,'平台参数'!$A$5:$A$9,'平台参数'!$F$5:$F$9,0)-XLOOKUP(T32,'平台参数'!$A$5:$A$9,'平台参数'!$G$5:$G$9,0))-XLOOKUP(T32,'平台参数'!$A$5:$A$9,'平台参数'!$I$5:$I$9,0))</x:f>
        <x:v>0</x:v>
      </x:c>
      <x:c r="W32" s="270" t="n">
        <x:f>V32-U32</x:f>
        <x:v>0</x:v>
      </x:c>
      <x:c r="X32" s="271" t="n">
        <x:f>IFERROR(W32/U32,0)</x:f>
        <x:v>0</x:v>
      </x:c>
      <x:c r="Y32" s="271" t="n">
        <x:f>IFERROR((S32-Q32)/Q32,0)</x:f>
        <x:v>0</x:v>
      </x:c>
      <x:c r="Z32" s="272"/>
      <x:c r="AA32" s="272"/>
      <x:c r="AB32" s="272"/>
      <x:c r="AC32" s="272" t="str">
        <x:f>IF(A32="","",ROUND((Z32+AA32)*10+X32*100-AB32*8,1))</x:f>
      </x:c>
      <x:c r="AD32" s="269"/>
      <x:c r="AE32" s="270" t="n">
        <x:f>IF(T32="",0,(S32*(1-XLOOKUP(T32,'平台参数'!$A$5:$A$9,'平台参数'!$F$5:$F$9,0)-XLOOKUP(T32,'平台参数'!$A$5:$A$9,'平台参数'!$G$5:$G$9,0))-XLOOKUP(T32,'平台参数'!$A$5:$A$9,'平台参数'!$I$5:$I$9,0))/1.18)</x:f>
        <x:v>0</x:v>
      </x:c>
      <x:c r="AF32" s="273" t="str">
        <x:f>IF(A32="","",IFERROR(MAX(_xlfn._xlws.FILTER('实时行情'!$H$5:$H$124,'实时行情'!$A$5:$A$124=A32)),TODAY()))</x:f>
      </x:c>
      <x:c r="AG32" s="274"/>
    </x:row>
    <x:row r="33">
      <x:c r="A33" s="268"/>
      <x:c r="B33" s="269"/>
      <x:c r="C33" s="269"/>
      <x:c r="D33" s="269"/>
      <x:c r="E33" s="269"/>
      <x:c r="F33" s="269"/>
      <x:c r="G33" s="270" t="n">
        <x:f>SUMIFS('实时行情'!$D$5:$D$124,'实时行情'!$A$5:$A$124,$A33,'实时行情'!$C$5:$C$124,"eBay")</x:f>
        <x:v>0</x:v>
      </x:c>
      <x:c r="H33" s="270" t="n">
        <x:f>SUMIFS('实时行情'!$D$5:$D$124,'实时行情'!$A$5:$A$124,$A33,'实时行情'!$C$5:$C$124,"ALT")</x:f>
        <x:v>0</x:v>
      </x:c>
      <x:c r="I33" s="270" t="n">
        <x:f>SUMIFS('实时行情'!$D$5:$D$124,'实时行情'!$A$5:$A$124,$A33,'实时行情'!$C$5:$C$124,"Card Hobby")</x:f>
        <x:v>0</x:v>
      </x:c>
      <x:c r="J33" s="270" t="n">
        <x:f>SUMIFS('实时行情'!$D$5:$D$124,'实时行情'!$A$5:$A$124,$A33,'实时行情'!$C$5:$C$124,"Fanatics Collect")</x:f>
        <x:v>0</x:v>
      </x:c>
      <x:c r="K33" s="270" t="n">
        <x:f>SUMIFS('实时行情'!$D$5:$D$124,'实时行情'!$A$5:$A$124,$A33,'实时行情'!$C$5:$C$124,"PokerColor")</x:f>
        <x:v>0</x:v>
      </x:c>
      <x:c r="L33" s="270" t="n">
        <x:f>SUMIFS('实时行情'!$E$5:$E$124,'实时行情'!$A$5:$A$124,$A33,'实时行情'!$C$5:$C$124,"eBay")</x:f>
        <x:v>0</x:v>
      </x:c>
      <x:c r="M33" s="270" t="n">
        <x:f>SUMIFS('实时行情'!$E$5:$E$124,'实时行情'!$A$5:$A$124,$A33,'实时行情'!$C$5:$C$124,"ALT")</x:f>
        <x:v>0</x:v>
      </x:c>
      <x:c r="N33" s="270" t="n">
        <x:f>SUMIFS('实时行情'!$E$5:$E$124,'实时行情'!$A$5:$A$124,$A33,'实时行情'!$C$5:$C$124,"Card Hobby")</x:f>
        <x:v>0</x:v>
      </x:c>
      <x:c r="O33" s="270" t="n">
        <x:f>SUMIFS('实时行情'!$E$5:$E$124,'实时行情'!$A$5:$A$124,$A33,'实时行情'!$C$5:$C$124,"Fanatics Collect")</x:f>
        <x:v>0</x:v>
      </x:c>
      <x:c r="P33" s="270" t="n">
        <x:f>SUMIFS('实时行情'!$E$5:$E$124,'实时行情'!$A$5:$A$124,$A33,'实时行情'!$C$5:$C$124,"PokerColor")</x:f>
        <x:v>0</x:v>
      </x:c>
      <x:c r="Q33" s="270" t="n">
        <x:f>IFERROR(MIN(_xlfn._xlws.FILTER(G33:K33,G33:K33&gt;0)),0)</x:f>
        <x:v>0</x:v>
      </x:c>
      <x:c r="R33" s="270" t="str">
        <x:f>IF(Q33=0,"",SUBSTITUTE(SUBSTITUTE(INDEX($G$4:$K$4,1,MATCH(Q33,G33:K33,0)),"买价",""),"Fanatics","Fanatics Collect"))</x:f>
      </x:c>
      <x:c r="S33" s="270" t="n">
        <x:f>IFERROR(MAX(_xlfn._xlws.FILTER(L33:P33,L33:P33&gt;0)),0)</x:f>
        <x:v>0</x:v>
      </x:c>
      <x:c r="T33" s="270" t="str">
        <x:f>IF(S33=0,"",SUBSTITUTE(SUBSTITUTE(INDEX($L$4:$P$4,1,MATCH(S33,L33:P33,0)),"卖价",""),"Fanatics","Fanatics Collect"))</x:f>
      </x:c>
      <x:c r="U33" s="270" t="n">
        <x:f>IF(Q33=0,0,Q33*(1+XLOOKUP(R33,'平台参数'!$A$5:$A$9,'平台参数'!$E$5:$E$9,0)+XLOOKUP(R33,'平台参数'!$A$5:$A$9,'平台参数'!$G$5:$G$9,0))+XLOOKUP(R33,'平台参数'!$A$5:$A$9,'平台参数'!$H$5:$H$9,0))</x:f>
        <x:v>0</x:v>
      </x:c>
      <x:c r="V33" s="270" t="n">
        <x:f>IF(S33=0,0,S33*(1-XLOOKUP(T33,'平台参数'!$A$5:$A$9,'平台参数'!$F$5:$F$9,0)-XLOOKUP(T33,'平台参数'!$A$5:$A$9,'平台参数'!$G$5:$G$9,0))-XLOOKUP(T33,'平台参数'!$A$5:$A$9,'平台参数'!$I$5:$I$9,0))</x:f>
        <x:v>0</x:v>
      </x:c>
      <x:c r="W33" s="270" t="n">
        <x:f>V33-U33</x:f>
        <x:v>0</x:v>
      </x:c>
      <x:c r="X33" s="271" t="n">
        <x:f>IFERROR(W33/U33,0)</x:f>
        <x:v>0</x:v>
      </x:c>
      <x:c r="Y33" s="271" t="n">
        <x:f>IFERROR((S33-Q33)/Q33,0)</x:f>
        <x:v>0</x:v>
      </x:c>
      <x:c r="Z33" s="272"/>
      <x:c r="AA33" s="272"/>
      <x:c r="AB33" s="272"/>
      <x:c r="AC33" s="272" t="str">
        <x:f>IF(A33="","",ROUND((Z33+AA33)*10+X33*100-AB33*8,1))</x:f>
      </x:c>
      <x:c r="AD33" s="269"/>
      <x:c r="AE33" s="270" t="n">
        <x:f>IF(T33="",0,(S33*(1-XLOOKUP(T33,'平台参数'!$A$5:$A$9,'平台参数'!$F$5:$F$9,0)-XLOOKUP(T33,'平台参数'!$A$5:$A$9,'平台参数'!$G$5:$G$9,0))-XLOOKUP(T33,'平台参数'!$A$5:$A$9,'平台参数'!$I$5:$I$9,0))/1.18)</x:f>
        <x:v>0</x:v>
      </x:c>
      <x:c r="AF33" s="273" t="str">
        <x:f>IF(A33="","",IFERROR(MAX(_xlfn._xlws.FILTER('实时行情'!$H$5:$H$124,'实时行情'!$A$5:$A$124=A33)),TODAY()))</x:f>
      </x:c>
      <x:c r="AG33" s="274"/>
    </x:row>
    <x:row r="34">
      <x:c r="A34" s="268"/>
      <x:c r="B34" s="269"/>
      <x:c r="C34" s="269"/>
      <x:c r="D34" s="269"/>
      <x:c r="E34" s="269"/>
      <x:c r="F34" s="269"/>
      <x:c r="G34" s="270" t="n">
        <x:f>SUMIFS('实时行情'!$D$5:$D$124,'实时行情'!$A$5:$A$124,$A34,'实时行情'!$C$5:$C$124,"eBay")</x:f>
        <x:v>0</x:v>
      </x:c>
      <x:c r="H34" s="270" t="n">
        <x:f>SUMIFS('实时行情'!$D$5:$D$124,'实时行情'!$A$5:$A$124,$A34,'实时行情'!$C$5:$C$124,"ALT")</x:f>
        <x:v>0</x:v>
      </x:c>
      <x:c r="I34" s="270" t="n">
        <x:f>SUMIFS('实时行情'!$D$5:$D$124,'实时行情'!$A$5:$A$124,$A34,'实时行情'!$C$5:$C$124,"Card Hobby")</x:f>
        <x:v>0</x:v>
      </x:c>
      <x:c r="J34" s="270" t="n">
        <x:f>SUMIFS('实时行情'!$D$5:$D$124,'实时行情'!$A$5:$A$124,$A34,'实时行情'!$C$5:$C$124,"Fanatics Collect")</x:f>
        <x:v>0</x:v>
      </x:c>
      <x:c r="K34" s="270" t="n">
        <x:f>SUMIFS('实时行情'!$D$5:$D$124,'实时行情'!$A$5:$A$124,$A34,'实时行情'!$C$5:$C$124,"PokerColor")</x:f>
        <x:v>0</x:v>
      </x:c>
      <x:c r="L34" s="270" t="n">
        <x:f>SUMIFS('实时行情'!$E$5:$E$124,'实时行情'!$A$5:$A$124,$A34,'实时行情'!$C$5:$C$124,"eBay")</x:f>
        <x:v>0</x:v>
      </x:c>
      <x:c r="M34" s="270" t="n">
        <x:f>SUMIFS('实时行情'!$E$5:$E$124,'实时行情'!$A$5:$A$124,$A34,'实时行情'!$C$5:$C$124,"ALT")</x:f>
        <x:v>0</x:v>
      </x:c>
      <x:c r="N34" s="270" t="n">
        <x:f>SUMIFS('实时行情'!$E$5:$E$124,'实时行情'!$A$5:$A$124,$A34,'实时行情'!$C$5:$C$124,"Card Hobby")</x:f>
        <x:v>0</x:v>
      </x:c>
      <x:c r="O34" s="270" t="n">
        <x:f>SUMIFS('实时行情'!$E$5:$E$124,'实时行情'!$A$5:$A$124,$A34,'实时行情'!$C$5:$C$124,"Fanatics Collect")</x:f>
        <x:v>0</x:v>
      </x:c>
      <x:c r="P34" s="270" t="n">
        <x:f>SUMIFS('实时行情'!$E$5:$E$124,'实时行情'!$A$5:$A$124,$A34,'实时行情'!$C$5:$C$124,"PokerColor")</x:f>
        <x:v>0</x:v>
      </x:c>
      <x:c r="Q34" s="270" t="n">
        <x:f>IFERROR(MIN(_xlfn._xlws.FILTER(G34:K34,G34:K34&gt;0)),0)</x:f>
        <x:v>0</x:v>
      </x:c>
      <x:c r="R34" s="270" t="str">
        <x:f>IF(Q34=0,"",SUBSTITUTE(SUBSTITUTE(INDEX($G$4:$K$4,1,MATCH(Q34,G34:K34,0)),"买价",""),"Fanatics","Fanatics Collect"))</x:f>
      </x:c>
      <x:c r="S34" s="270" t="n">
        <x:f>IFERROR(MAX(_xlfn._xlws.FILTER(L34:P34,L34:P34&gt;0)),0)</x:f>
        <x:v>0</x:v>
      </x:c>
      <x:c r="T34" s="270" t="str">
        <x:f>IF(S34=0,"",SUBSTITUTE(SUBSTITUTE(INDEX($L$4:$P$4,1,MATCH(S34,L34:P34,0)),"卖价",""),"Fanatics","Fanatics Collect"))</x:f>
      </x:c>
      <x:c r="U34" s="270" t="n">
        <x:f>IF(Q34=0,0,Q34*(1+XLOOKUP(R34,'平台参数'!$A$5:$A$9,'平台参数'!$E$5:$E$9,0)+XLOOKUP(R34,'平台参数'!$A$5:$A$9,'平台参数'!$G$5:$G$9,0))+XLOOKUP(R34,'平台参数'!$A$5:$A$9,'平台参数'!$H$5:$H$9,0))</x:f>
        <x:v>0</x:v>
      </x:c>
      <x:c r="V34" s="270" t="n">
        <x:f>IF(S34=0,0,S34*(1-XLOOKUP(T34,'平台参数'!$A$5:$A$9,'平台参数'!$F$5:$F$9,0)-XLOOKUP(T34,'平台参数'!$A$5:$A$9,'平台参数'!$G$5:$G$9,0))-XLOOKUP(T34,'平台参数'!$A$5:$A$9,'平台参数'!$I$5:$I$9,0))</x:f>
        <x:v>0</x:v>
      </x:c>
      <x:c r="W34" s="270" t="n">
        <x:f>V34-U34</x:f>
        <x:v>0</x:v>
      </x:c>
      <x:c r="X34" s="271" t="n">
        <x:f>IFERROR(W34/U34,0)</x:f>
        <x:v>0</x:v>
      </x:c>
      <x:c r="Y34" s="271" t="n">
        <x:f>IFERROR((S34-Q34)/Q34,0)</x:f>
        <x:v>0</x:v>
      </x:c>
      <x:c r="Z34" s="272"/>
      <x:c r="AA34" s="272"/>
      <x:c r="AB34" s="272"/>
      <x:c r="AC34" s="272" t="str">
        <x:f>IF(A34="","",ROUND((Z34+AA34)*10+X34*100-AB34*8,1))</x:f>
      </x:c>
      <x:c r="AD34" s="269"/>
      <x:c r="AE34" s="270" t="n">
        <x:f>IF(T34="",0,(S34*(1-XLOOKUP(T34,'平台参数'!$A$5:$A$9,'平台参数'!$F$5:$F$9,0)-XLOOKUP(T34,'平台参数'!$A$5:$A$9,'平台参数'!$G$5:$G$9,0))-XLOOKUP(T34,'平台参数'!$A$5:$A$9,'平台参数'!$I$5:$I$9,0))/1.18)</x:f>
        <x:v>0</x:v>
      </x:c>
      <x:c r="AF34" s="273" t="str">
        <x:f>IF(A34="","",IFERROR(MAX(_xlfn._xlws.FILTER('实时行情'!$H$5:$H$124,'实时行情'!$A$5:$A$124=A34)),TODAY()))</x:f>
      </x:c>
      <x:c r="AG34" s="274"/>
    </x:row>
    <x:row r="35">
      <x:c r="A35" s="268"/>
      <x:c r="B35" s="269"/>
      <x:c r="C35" s="269"/>
      <x:c r="D35" s="269"/>
      <x:c r="E35" s="269"/>
      <x:c r="F35" s="269"/>
      <x:c r="G35" s="270" t="n">
        <x:f>SUMIFS('实时行情'!$D$5:$D$124,'实时行情'!$A$5:$A$124,$A35,'实时行情'!$C$5:$C$124,"eBay")</x:f>
        <x:v>0</x:v>
      </x:c>
      <x:c r="H35" s="270" t="n">
        <x:f>SUMIFS('实时行情'!$D$5:$D$124,'实时行情'!$A$5:$A$124,$A35,'实时行情'!$C$5:$C$124,"ALT")</x:f>
        <x:v>0</x:v>
      </x:c>
      <x:c r="I35" s="270" t="n">
        <x:f>SUMIFS('实时行情'!$D$5:$D$124,'实时行情'!$A$5:$A$124,$A35,'实时行情'!$C$5:$C$124,"Card Hobby")</x:f>
        <x:v>0</x:v>
      </x:c>
      <x:c r="J35" s="270" t="n">
        <x:f>SUMIFS('实时行情'!$D$5:$D$124,'实时行情'!$A$5:$A$124,$A35,'实时行情'!$C$5:$C$124,"Fanatics Collect")</x:f>
        <x:v>0</x:v>
      </x:c>
      <x:c r="K35" s="270" t="n">
        <x:f>SUMIFS('实时行情'!$D$5:$D$124,'实时行情'!$A$5:$A$124,$A35,'实时行情'!$C$5:$C$124,"PokerColor")</x:f>
        <x:v>0</x:v>
      </x:c>
      <x:c r="L35" s="270" t="n">
        <x:f>SUMIFS('实时行情'!$E$5:$E$124,'实时行情'!$A$5:$A$124,$A35,'实时行情'!$C$5:$C$124,"eBay")</x:f>
        <x:v>0</x:v>
      </x:c>
      <x:c r="M35" s="270" t="n">
        <x:f>SUMIFS('实时行情'!$E$5:$E$124,'实时行情'!$A$5:$A$124,$A35,'实时行情'!$C$5:$C$124,"ALT")</x:f>
        <x:v>0</x:v>
      </x:c>
      <x:c r="N35" s="270" t="n">
        <x:f>SUMIFS('实时行情'!$E$5:$E$124,'实时行情'!$A$5:$A$124,$A35,'实时行情'!$C$5:$C$124,"Card Hobby")</x:f>
        <x:v>0</x:v>
      </x:c>
      <x:c r="O35" s="270" t="n">
        <x:f>SUMIFS('实时行情'!$E$5:$E$124,'实时行情'!$A$5:$A$124,$A35,'实时行情'!$C$5:$C$124,"Fanatics Collect")</x:f>
        <x:v>0</x:v>
      </x:c>
      <x:c r="P35" s="270" t="n">
        <x:f>SUMIFS('实时行情'!$E$5:$E$124,'实时行情'!$A$5:$A$124,$A35,'实时行情'!$C$5:$C$124,"PokerColor")</x:f>
        <x:v>0</x:v>
      </x:c>
      <x:c r="Q35" s="270" t="n">
        <x:f>IFERROR(MIN(_xlfn._xlws.FILTER(G35:K35,G35:K35&gt;0)),0)</x:f>
        <x:v>0</x:v>
      </x:c>
      <x:c r="R35" s="270" t="str">
        <x:f>IF(Q35=0,"",SUBSTITUTE(SUBSTITUTE(INDEX($G$4:$K$4,1,MATCH(Q35,G35:K35,0)),"买价",""),"Fanatics","Fanatics Collect"))</x:f>
      </x:c>
      <x:c r="S35" s="270" t="n">
        <x:f>IFERROR(MAX(_xlfn._xlws.FILTER(L35:P35,L35:P35&gt;0)),0)</x:f>
        <x:v>0</x:v>
      </x:c>
      <x:c r="T35" s="270" t="str">
        <x:f>IF(S35=0,"",SUBSTITUTE(SUBSTITUTE(INDEX($L$4:$P$4,1,MATCH(S35,L35:P35,0)),"卖价",""),"Fanatics","Fanatics Collect"))</x:f>
      </x:c>
      <x:c r="U35" s="270" t="n">
        <x:f>IF(Q35=0,0,Q35*(1+XLOOKUP(R35,'平台参数'!$A$5:$A$9,'平台参数'!$E$5:$E$9,0)+XLOOKUP(R35,'平台参数'!$A$5:$A$9,'平台参数'!$G$5:$G$9,0))+XLOOKUP(R35,'平台参数'!$A$5:$A$9,'平台参数'!$H$5:$H$9,0))</x:f>
        <x:v>0</x:v>
      </x:c>
      <x:c r="V35" s="270" t="n">
        <x:f>IF(S35=0,0,S35*(1-XLOOKUP(T35,'平台参数'!$A$5:$A$9,'平台参数'!$F$5:$F$9,0)-XLOOKUP(T35,'平台参数'!$A$5:$A$9,'平台参数'!$G$5:$G$9,0))-XLOOKUP(T35,'平台参数'!$A$5:$A$9,'平台参数'!$I$5:$I$9,0))</x:f>
        <x:v>0</x:v>
      </x:c>
      <x:c r="W35" s="270" t="n">
        <x:f>V35-U35</x:f>
        <x:v>0</x:v>
      </x:c>
      <x:c r="X35" s="271" t="n">
        <x:f>IFERROR(W35/U35,0)</x:f>
        <x:v>0</x:v>
      </x:c>
      <x:c r="Y35" s="271" t="n">
        <x:f>IFERROR((S35-Q35)/Q35,0)</x:f>
        <x:v>0</x:v>
      </x:c>
      <x:c r="Z35" s="272"/>
      <x:c r="AA35" s="272"/>
      <x:c r="AB35" s="272"/>
      <x:c r="AC35" s="272" t="str">
        <x:f>IF(A35="","",ROUND((Z35+AA35)*10+X35*100-AB35*8,1))</x:f>
      </x:c>
      <x:c r="AD35" s="269"/>
      <x:c r="AE35" s="270" t="n">
        <x:f>IF(T35="",0,(S35*(1-XLOOKUP(T35,'平台参数'!$A$5:$A$9,'平台参数'!$F$5:$F$9,0)-XLOOKUP(T35,'平台参数'!$A$5:$A$9,'平台参数'!$G$5:$G$9,0))-XLOOKUP(T35,'平台参数'!$A$5:$A$9,'平台参数'!$I$5:$I$9,0))/1.18)</x:f>
        <x:v>0</x:v>
      </x:c>
      <x:c r="AF35" s="273" t="str">
        <x:f>IF(A35="","",IFERROR(MAX(_xlfn._xlws.FILTER('实时行情'!$H$5:$H$124,'实时行情'!$A$5:$A$124=A35)),TODAY()))</x:f>
      </x:c>
      <x:c r="AG35" s="274"/>
    </x:row>
    <x:row r="36">
      <x:c r="A36" s="268"/>
      <x:c r="B36" s="269"/>
      <x:c r="C36" s="269"/>
      <x:c r="D36" s="269"/>
      <x:c r="E36" s="269"/>
      <x:c r="F36" s="269"/>
      <x:c r="G36" s="270" t="n">
        <x:f>SUMIFS('实时行情'!$D$5:$D$124,'实时行情'!$A$5:$A$124,$A36,'实时行情'!$C$5:$C$124,"eBay")</x:f>
        <x:v>0</x:v>
      </x:c>
      <x:c r="H36" s="270" t="n">
        <x:f>SUMIFS('实时行情'!$D$5:$D$124,'实时行情'!$A$5:$A$124,$A36,'实时行情'!$C$5:$C$124,"ALT")</x:f>
        <x:v>0</x:v>
      </x:c>
      <x:c r="I36" s="270" t="n">
        <x:f>SUMIFS('实时行情'!$D$5:$D$124,'实时行情'!$A$5:$A$124,$A36,'实时行情'!$C$5:$C$124,"Card Hobby")</x:f>
        <x:v>0</x:v>
      </x:c>
      <x:c r="J36" s="270" t="n">
        <x:f>SUMIFS('实时行情'!$D$5:$D$124,'实时行情'!$A$5:$A$124,$A36,'实时行情'!$C$5:$C$124,"Fanatics Collect")</x:f>
        <x:v>0</x:v>
      </x:c>
      <x:c r="K36" s="270" t="n">
        <x:f>SUMIFS('实时行情'!$D$5:$D$124,'实时行情'!$A$5:$A$124,$A36,'实时行情'!$C$5:$C$124,"PokerColor")</x:f>
        <x:v>0</x:v>
      </x:c>
      <x:c r="L36" s="270" t="n">
        <x:f>SUMIFS('实时行情'!$E$5:$E$124,'实时行情'!$A$5:$A$124,$A36,'实时行情'!$C$5:$C$124,"eBay")</x:f>
        <x:v>0</x:v>
      </x:c>
      <x:c r="M36" s="270" t="n">
        <x:f>SUMIFS('实时行情'!$E$5:$E$124,'实时行情'!$A$5:$A$124,$A36,'实时行情'!$C$5:$C$124,"ALT")</x:f>
        <x:v>0</x:v>
      </x:c>
      <x:c r="N36" s="270" t="n">
        <x:f>SUMIFS('实时行情'!$E$5:$E$124,'实时行情'!$A$5:$A$124,$A36,'实时行情'!$C$5:$C$124,"Card Hobby")</x:f>
        <x:v>0</x:v>
      </x:c>
      <x:c r="O36" s="270" t="n">
        <x:f>SUMIFS('实时行情'!$E$5:$E$124,'实时行情'!$A$5:$A$124,$A36,'实时行情'!$C$5:$C$124,"Fanatics Collect")</x:f>
        <x:v>0</x:v>
      </x:c>
      <x:c r="P36" s="270" t="n">
        <x:f>SUMIFS('实时行情'!$E$5:$E$124,'实时行情'!$A$5:$A$124,$A36,'实时行情'!$C$5:$C$124,"PokerColor")</x:f>
        <x:v>0</x:v>
      </x:c>
      <x:c r="Q36" s="270" t="n">
        <x:f>IFERROR(MIN(_xlfn._xlws.FILTER(G36:K36,G36:K36&gt;0)),0)</x:f>
        <x:v>0</x:v>
      </x:c>
      <x:c r="R36" s="270" t="str">
        <x:f>IF(Q36=0,"",SUBSTITUTE(SUBSTITUTE(INDEX($G$4:$K$4,1,MATCH(Q36,G36:K36,0)),"买价",""),"Fanatics","Fanatics Collect"))</x:f>
      </x:c>
      <x:c r="S36" s="270" t="n">
        <x:f>IFERROR(MAX(_xlfn._xlws.FILTER(L36:P36,L36:P36&gt;0)),0)</x:f>
        <x:v>0</x:v>
      </x:c>
      <x:c r="T36" s="270" t="str">
        <x:f>IF(S36=0,"",SUBSTITUTE(SUBSTITUTE(INDEX($L$4:$P$4,1,MATCH(S36,L36:P36,0)),"卖价",""),"Fanatics","Fanatics Collect"))</x:f>
      </x:c>
      <x:c r="U36" s="270" t="n">
        <x:f>IF(Q36=0,0,Q36*(1+XLOOKUP(R36,'平台参数'!$A$5:$A$9,'平台参数'!$E$5:$E$9,0)+XLOOKUP(R36,'平台参数'!$A$5:$A$9,'平台参数'!$G$5:$G$9,0))+XLOOKUP(R36,'平台参数'!$A$5:$A$9,'平台参数'!$H$5:$H$9,0))</x:f>
        <x:v>0</x:v>
      </x:c>
      <x:c r="V36" s="270" t="n">
        <x:f>IF(S36=0,0,S36*(1-XLOOKUP(T36,'平台参数'!$A$5:$A$9,'平台参数'!$F$5:$F$9,0)-XLOOKUP(T36,'平台参数'!$A$5:$A$9,'平台参数'!$G$5:$G$9,0))-XLOOKUP(T36,'平台参数'!$A$5:$A$9,'平台参数'!$I$5:$I$9,0))</x:f>
        <x:v>0</x:v>
      </x:c>
      <x:c r="W36" s="270" t="n">
        <x:f>V36-U36</x:f>
        <x:v>0</x:v>
      </x:c>
      <x:c r="X36" s="271" t="n">
        <x:f>IFERROR(W36/U36,0)</x:f>
        <x:v>0</x:v>
      </x:c>
      <x:c r="Y36" s="271" t="n">
        <x:f>IFERROR((S36-Q36)/Q36,0)</x:f>
        <x:v>0</x:v>
      </x:c>
      <x:c r="Z36" s="272"/>
      <x:c r="AA36" s="272"/>
      <x:c r="AB36" s="272"/>
      <x:c r="AC36" s="272" t="str">
        <x:f>IF(A36="","",ROUND((Z36+AA36)*10+X36*100-AB36*8,1))</x:f>
      </x:c>
      <x:c r="AD36" s="269"/>
      <x:c r="AE36" s="270" t="n">
        <x:f>IF(T36="",0,(S36*(1-XLOOKUP(T36,'平台参数'!$A$5:$A$9,'平台参数'!$F$5:$F$9,0)-XLOOKUP(T36,'平台参数'!$A$5:$A$9,'平台参数'!$G$5:$G$9,0))-XLOOKUP(T36,'平台参数'!$A$5:$A$9,'平台参数'!$I$5:$I$9,0))/1.18)</x:f>
        <x:v>0</x:v>
      </x:c>
      <x:c r="AF36" s="273" t="str">
        <x:f>IF(A36="","",IFERROR(MAX(_xlfn._xlws.FILTER('实时行情'!$H$5:$H$124,'实时行情'!$A$5:$A$124=A36)),TODAY()))</x:f>
      </x:c>
      <x:c r="AG36" s="274"/>
    </x:row>
    <x:row r="37">
      <x:c r="A37" s="268"/>
      <x:c r="B37" s="269"/>
      <x:c r="C37" s="269"/>
      <x:c r="D37" s="269"/>
      <x:c r="E37" s="269"/>
      <x:c r="F37" s="269"/>
      <x:c r="G37" s="270" t="n">
        <x:f>SUMIFS('实时行情'!$D$5:$D$124,'实时行情'!$A$5:$A$124,$A37,'实时行情'!$C$5:$C$124,"eBay")</x:f>
        <x:v>0</x:v>
      </x:c>
      <x:c r="H37" s="270" t="n">
        <x:f>SUMIFS('实时行情'!$D$5:$D$124,'实时行情'!$A$5:$A$124,$A37,'实时行情'!$C$5:$C$124,"ALT")</x:f>
        <x:v>0</x:v>
      </x:c>
      <x:c r="I37" s="270" t="n">
        <x:f>SUMIFS('实时行情'!$D$5:$D$124,'实时行情'!$A$5:$A$124,$A37,'实时行情'!$C$5:$C$124,"Card Hobby")</x:f>
        <x:v>0</x:v>
      </x:c>
      <x:c r="J37" s="270" t="n">
        <x:f>SUMIFS('实时行情'!$D$5:$D$124,'实时行情'!$A$5:$A$124,$A37,'实时行情'!$C$5:$C$124,"Fanatics Collect")</x:f>
        <x:v>0</x:v>
      </x:c>
      <x:c r="K37" s="270" t="n">
        <x:f>SUMIFS('实时行情'!$D$5:$D$124,'实时行情'!$A$5:$A$124,$A37,'实时行情'!$C$5:$C$124,"PokerColor")</x:f>
        <x:v>0</x:v>
      </x:c>
      <x:c r="L37" s="270" t="n">
        <x:f>SUMIFS('实时行情'!$E$5:$E$124,'实时行情'!$A$5:$A$124,$A37,'实时行情'!$C$5:$C$124,"eBay")</x:f>
        <x:v>0</x:v>
      </x:c>
      <x:c r="M37" s="270" t="n">
        <x:f>SUMIFS('实时行情'!$E$5:$E$124,'实时行情'!$A$5:$A$124,$A37,'实时行情'!$C$5:$C$124,"ALT")</x:f>
        <x:v>0</x:v>
      </x:c>
      <x:c r="N37" s="270" t="n">
        <x:f>SUMIFS('实时行情'!$E$5:$E$124,'实时行情'!$A$5:$A$124,$A37,'实时行情'!$C$5:$C$124,"Card Hobby")</x:f>
        <x:v>0</x:v>
      </x:c>
      <x:c r="O37" s="270" t="n">
        <x:f>SUMIFS('实时行情'!$E$5:$E$124,'实时行情'!$A$5:$A$124,$A37,'实时行情'!$C$5:$C$124,"Fanatics Collect")</x:f>
        <x:v>0</x:v>
      </x:c>
      <x:c r="P37" s="270" t="n">
        <x:f>SUMIFS('实时行情'!$E$5:$E$124,'实时行情'!$A$5:$A$124,$A37,'实时行情'!$C$5:$C$124,"PokerColor")</x:f>
        <x:v>0</x:v>
      </x:c>
      <x:c r="Q37" s="270" t="n">
        <x:f>IFERROR(MIN(_xlfn._xlws.FILTER(G37:K37,G37:K37&gt;0)),0)</x:f>
        <x:v>0</x:v>
      </x:c>
      <x:c r="R37" s="270" t="str">
        <x:f>IF(Q37=0,"",SUBSTITUTE(SUBSTITUTE(INDEX($G$4:$K$4,1,MATCH(Q37,G37:K37,0)),"买价",""),"Fanatics","Fanatics Collect"))</x:f>
      </x:c>
      <x:c r="S37" s="270" t="n">
        <x:f>IFERROR(MAX(_xlfn._xlws.FILTER(L37:P37,L37:P37&gt;0)),0)</x:f>
        <x:v>0</x:v>
      </x:c>
      <x:c r="T37" s="270" t="str">
        <x:f>IF(S37=0,"",SUBSTITUTE(SUBSTITUTE(INDEX($L$4:$P$4,1,MATCH(S37,L37:P37,0)),"卖价",""),"Fanatics","Fanatics Collect"))</x:f>
      </x:c>
      <x:c r="U37" s="270" t="n">
        <x:f>IF(Q37=0,0,Q37*(1+XLOOKUP(R37,'平台参数'!$A$5:$A$9,'平台参数'!$E$5:$E$9,0)+XLOOKUP(R37,'平台参数'!$A$5:$A$9,'平台参数'!$G$5:$G$9,0))+XLOOKUP(R37,'平台参数'!$A$5:$A$9,'平台参数'!$H$5:$H$9,0))</x:f>
        <x:v>0</x:v>
      </x:c>
      <x:c r="V37" s="270" t="n">
        <x:f>IF(S37=0,0,S37*(1-XLOOKUP(T37,'平台参数'!$A$5:$A$9,'平台参数'!$F$5:$F$9,0)-XLOOKUP(T37,'平台参数'!$A$5:$A$9,'平台参数'!$G$5:$G$9,0))-XLOOKUP(T37,'平台参数'!$A$5:$A$9,'平台参数'!$I$5:$I$9,0))</x:f>
        <x:v>0</x:v>
      </x:c>
      <x:c r="W37" s="270" t="n">
        <x:f>V37-U37</x:f>
        <x:v>0</x:v>
      </x:c>
      <x:c r="X37" s="271" t="n">
        <x:f>IFERROR(W37/U37,0)</x:f>
        <x:v>0</x:v>
      </x:c>
      <x:c r="Y37" s="271" t="n">
        <x:f>IFERROR((S37-Q37)/Q37,0)</x:f>
        <x:v>0</x:v>
      </x:c>
      <x:c r="Z37" s="272"/>
      <x:c r="AA37" s="272"/>
      <x:c r="AB37" s="272"/>
      <x:c r="AC37" s="272" t="str">
        <x:f>IF(A37="","",ROUND((Z37+AA37)*10+X37*100-AB37*8,1))</x:f>
      </x:c>
      <x:c r="AD37" s="269"/>
      <x:c r="AE37" s="270" t="n">
        <x:f>IF(T37="",0,(S37*(1-XLOOKUP(T37,'平台参数'!$A$5:$A$9,'平台参数'!$F$5:$F$9,0)-XLOOKUP(T37,'平台参数'!$A$5:$A$9,'平台参数'!$G$5:$G$9,0))-XLOOKUP(T37,'平台参数'!$A$5:$A$9,'平台参数'!$I$5:$I$9,0))/1.18)</x:f>
        <x:v>0</x:v>
      </x:c>
      <x:c r="AF37" s="273" t="str">
        <x:f>IF(A37="","",IFERROR(MAX(_xlfn._xlws.FILTER('实时行情'!$H$5:$H$124,'实时行情'!$A$5:$A$124=A37)),TODAY()))</x:f>
      </x:c>
      <x:c r="AG37" s="274"/>
    </x:row>
    <x:row r="38">
      <x:c r="A38" s="268"/>
      <x:c r="B38" s="269"/>
      <x:c r="C38" s="269"/>
      <x:c r="D38" s="269"/>
      <x:c r="E38" s="269"/>
      <x:c r="F38" s="269"/>
      <x:c r="G38" s="270" t="n">
        <x:f>SUMIFS('实时行情'!$D$5:$D$124,'实时行情'!$A$5:$A$124,$A38,'实时行情'!$C$5:$C$124,"eBay")</x:f>
        <x:v>0</x:v>
      </x:c>
      <x:c r="H38" s="270" t="n">
        <x:f>SUMIFS('实时行情'!$D$5:$D$124,'实时行情'!$A$5:$A$124,$A38,'实时行情'!$C$5:$C$124,"ALT")</x:f>
        <x:v>0</x:v>
      </x:c>
      <x:c r="I38" s="270" t="n">
        <x:f>SUMIFS('实时行情'!$D$5:$D$124,'实时行情'!$A$5:$A$124,$A38,'实时行情'!$C$5:$C$124,"Card Hobby")</x:f>
        <x:v>0</x:v>
      </x:c>
      <x:c r="J38" s="270" t="n">
        <x:f>SUMIFS('实时行情'!$D$5:$D$124,'实时行情'!$A$5:$A$124,$A38,'实时行情'!$C$5:$C$124,"Fanatics Collect")</x:f>
        <x:v>0</x:v>
      </x:c>
      <x:c r="K38" s="270" t="n">
        <x:f>SUMIFS('实时行情'!$D$5:$D$124,'实时行情'!$A$5:$A$124,$A38,'实时行情'!$C$5:$C$124,"PokerColor")</x:f>
        <x:v>0</x:v>
      </x:c>
      <x:c r="L38" s="270" t="n">
        <x:f>SUMIFS('实时行情'!$E$5:$E$124,'实时行情'!$A$5:$A$124,$A38,'实时行情'!$C$5:$C$124,"eBay")</x:f>
        <x:v>0</x:v>
      </x:c>
      <x:c r="M38" s="270" t="n">
        <x:f>SUMIFS('实时行情'!$E$5:$E$124,'实时行情'!$A$5:$A$124,$A38,'实时行情'!$C$5:$C$124,"ALT")</x:f>
        <x:v>0</x:v>
      </x:c>
      <x:c r="N38" s="270" t="n">
        <x:f>SUMIFS('实时行情'!$E$5:$E$124,'实时行情'!$A$5:$A$124,$A38,'实时行情'!$C$5:$C$124,"Card Hobby")</x:f>
        <x:v>0</x:v>
      </x:c>
      <x:c r="O38" s="270" t="n">
        <x:f>SUMIFS('实时行情'!$E$5:$E$124,'实时行情'!$A$5:$A$124,$A38,'实时行情'!$C$5:$C$124,"Fanatics Collect")</x:f>
        <x:v>0</x:v>
      </x:c>
      <x:c r="P38" s="270" t="n">
        <x:f>SUMIFS('实时行情'!$E$5:$E$124,'实时行情'!$A$5:$A$124,$A38,'实时行情'!$C$5:$C$124,"PokerColor")</x:f>
        <x:v>0</x:v>
      </x:c>
      <x:c r="Q38" s="270" t="n">
        <x:f>IFERROR(MIN(_xlfn._xlws.FILTER(G38:K38,G38:K38&gt;0)),0)</x:f>
        <x:v>0</x:v>
      </x:c>
      <x:c r="R38" s="270" t="str">
        <x:f>IF(Q38=0,"",SUBSTITUTE(SUBSTITUTE(INDEX($G$4:$K$4,1,MATCH(Q38,G38:K38,0)),"买价",""),"Fanatics","Fanatics Collect"))</x:f>
      </x:c>
      <x:c r="S38" s="270" t="n">
        <x:f>IFERROR(MAX(_xlfn._xlws.FILTER(L38:P38,L38:P38&gt;0)),0)</x:f>
        <x:v>0</x:v>
      </x:c>
      <x:c r="T38" s="270" t="str">
        <x:f>IF(S38=0,"",SUBSTITUTE(SUBSTITUTE(INDEX($L$4:$P$4,1,MATCH(S38,L38:P38,0)),"卖价",""),"Fanatics","Fanatics Collect"))</x:f>
      </x:c>
      <x:c r="U38" s="270" t="n">
        <x:f>IF(Q38=0,0,Q38*(1+XLOOKUP(R38,'平台参数'!$A$5:$A$9,'平台参数'!$E$5:$E$9,0)+XLOOKUP(R38,'平台参数'!$A$5:$A$9,'平台参数'!$G$5:$G$9,0))+XLOOKUP(R38,'平台参数'!$A$5:$A$9,'平台参数'!$H$5:$H$9,0))</x:f>
        <x:v>0</x:v>
      </x:c>
      <x:c r="V38" s="270" t="n">
        <x:f>IF(S38=0,0,S38*(1-XLOOKUP(T38,'平台参数'!$A$5:$A$9,'平台参数'!$F$5:$F$9,0)-XLOOKUP(T38,'平台参数'!$A$5:$A$9,'平台参数'!$G$5:$G$9,0))-XLOOKUP(T38,'平台参数'!$A$5:$A$9,'平台参数'!$I$5:$I$9,0))</x:f>
        <x:v>0</x:v>
      </x:c>
      <x:c r="W38" s="270" t="n">
        <x:f>V38-U38</x:f>
        <x:v>0</x:v>
      </x:c>
      <x:c r="X38" s="271" t="n">
        <x:f>IFERROR(W38/U38,0)</x:f>
        <x:v>0</x:v>
      </x:c>
      <x:c r="Y38" s="271" t="n">
        <x:f>IFERROR((S38-Q38)/Q38,0)</x:f>
        <x:v>0</x:v>
      </x:c>
      <x:c r="Z38" s="272"/>
      <x:c r="AA38" s="272"/>
      <x:c r="AB38" s="272"/>
      <x:c r="AC38" s="272" t="str">
        <x:f>IF(A38="","",ROUND((Z38+AA38)*10+X38*100-AB38*8,1))</x:f>
      </x:c>
      <x:c r="AD38" s="269"/>
      <x:c r="AE38" s="270" t="n">
        <x:f>IF(T38="",0,(S38*(1-XLOOKUP(T38,'平台参数'!$A$5:$A$9,'平台参数'!$F$5:$F$9,0)-XLOOKUP(T38,'平台参数'!$A$5:$A$9,'平台参数'!$G$5:$G$9,0))-XLOOKUP(T38,'平台参数'!$A$5:$A$9,'平台参数'!$I$5:$I$9,0))/1.18)</x:f>
        <x:v>0</x:v>
      </x:c>
      <x:c r="AF38" s="273" t="str">
        <x:f>IF(A38="","",IFERROR(MAX(_xlfn._xlws.FILTER('实时行情'!$H$5:$H$124,'实时行情'!$A$5:$A$124=A38)),TODAY()))</x:f>
      </x:c>
      <x:c r="AG38" s="274"/>
    </x:row>
    <x:row r="39">
      <x:c r="A39" s="268"/>
      <x:c r="B39" s="269"/>
      <x:c r="C39" s="269"/>
      <x:c r="D39" s="269"/>
      <x:c r="E39" s="269"/>
      <x:c r="F39" s="269"/>
      <x:c r="G39" s="270" t="n">
        <x:f>SUMIFS('实时行情'!$D$5:$D$124,'实时行情'!$A$5:$A$124,$A39,'实时行情'!$C$5:$C$124,"eBay")</x:f>
        <x:v>0</x:v>
      </x:c>
      <x:c r="H39" s="270" t="n">
        <x:f>SUMIFS('实时行情'!$D$5:$D$124,'实时行情'!$A$5:$A$124,$A39,'实时行情'!$C$5:$C$124,"ALT")</x:f>
        <x:v>0</x:v>
      </x:c>
      <x:c r="I39" s="270" t="n">
        <x:f>SUMIFS('实时行情'!$D$5:$D$124,'实时行情'!$A$5:$A$124,$A39,'实时行情'!$C$5:$C$124,"Card Hobby")</x:f>
        <x:v>0</x:v>
      </x:c>
      <x:c r="J39" s="270" t="n">
        <x:f>SUMIFS('实时行情'!$D$5:$D$124,'实时行情'!$A$5:$A$124,$A39,'实时行情'!$C$5:$C$124,"Fanatics Collect")</x:f>
        <x:v>0</x:v>
      </x:c>
      <x:c r="K39" s="270" t="n">
        <x:f>SUMIFS('实时行情'!$D$5:$D$124,'实时行情'!$A$5:$A$124,$A39,'实时行情'!$C$5:$C$124,"PokerColor")</x:f>
        <x:v>0</x:v>
      </x:c>
      <x:c r="L39" s="270" t="n">
        <x:f>SUMIFS('实时行情'!$E$5:$E$124,'实时行情'!$A$5:$A$124,$A39,'实时行情'!$C$5:$C$124,"eBay")</x:f>
        <x:v>0</x:v>
      </x:c>
      <x:c r="M39" s="270" t="n">
        <x:f>SUMIFS('实时行情'!$E$5:$E$124,'实时行情'!$A$5:$A$124,$A39,'实时行情'!$C$5:$C$124,"ALT")</x:f>
        <x:v>0</x:v>
      </x:c>
      <x:c r="N39" s="270" t="n">
        <x:f>SUMIFS('实时行情'!$E$5:$E$124,'实时行情'!$A$5:$A$124,$A39,'实时行情'!$C$5:$C$124,"Card Hobby")</x:f>
        <x:v>0</x:v>
      </x:c>
      <x:c r="O39" s="270" t="n">
        <x:f>SUMIFS('实时行情'!$E$5:$E$124,'实时行情'!$A$5:$A$124,$A39,'实时行情'!$C$5:$C$124,"Fanatics Collect")</x:f>
        <x:v>0</x:v>
      </x:c>
      <x:c r="P39" s="270" t="n">
        <x:f>SUMIFS('实时行情'!$E$5:$E$124,'实时行情'!$A$5:$A$124,$A39,'实时行情'!$C$5:$C$124,"PokerColor")</x:f>
        <x:v>0</x:v>
      </x:c>
      <x:c r="Q39" s="270" t="n">
        <x:f>IFERROR(MIN(_xlfn._xlws.FILTER(G39:K39,G39:K39&gt;0)),0)</x:f>
        <x:v>0</x:v>
      </x:c>
      <x:c r="R39" s="270" t="str">
        <x:f>IF(Q39=0,"",SUBSTITUTE(SUBSTITUTE(INDEX($G$4:$K$4,1,MATCH(Q39,G39:K39,0)),"买价",""),"Fanatics","Fanatics Collect"))</x:f>
      </x:c>
      <x:c r="S39" s="270" t="n">
        <x:f>IFERROR(MAX(_xlfn._xlws.FILTER(L39:P39,L39:P39&gt;0)),0)</x:f>
        <x:v>0</x:v>
      </x:c>
      <x:c r="T39" s="270" t="str">
        <x:f>IF(S39=0,"",SUBSTITUTE(SUBSTITUTE(INDEX($L$4:$P$4,1,MATCH(S39,L39:P39,0)),"卖价",""),"Fanatics","Fanatics Collect"))</x:f>
      </x:c>
      <x:c r="U39" s="270" t="n">
        <x:f>IF(Q39=0,0,Q39*(1+XLOOKUP(R39,'平台参数'!$A$5:$A$9,'平台参数'!$E$5:$E$9,0)+XLOOKUP(R39,'平台参数'!$A$5:$A$9,'平台参数'!$G$5:$G$9,0))+XLOOKUP(R39,'平台参数'!$A$5:$A$9,'平台参数'!$H$5:$H$9,0))</x:f>
        <x:v>0</x:v>
      </x:c>
      <x:c r="V39" s="270" t="n">
        <x:f>IF(S39=0,0,S39*(1-XLOOKUP(T39,'平台参数'!$A$5:$A$9,'平台参数'!$F$5:$F$9,0)-XLOOKUP(T39,'平台参数'!$A$5:$A$9,'平台参数'!$G$5:$G$9,0))-XLOOKUP(T39,'平台参数'!$A$5:$A$9,'平台参数'!$I$5:$I$9,0))</x:f>
        <x:v>0</x:v>
      </x:c>
      <x:c r="W39" s="270" t="n">
        <x:f>V39-U39</x:f>
        <x:v>0</x:v>
      </x:c>
      <x:c r="X39" s="271" t="n">
        <x:f>IFERROR(W39/U39,0)</x:f>
        <x:v>0</x:v>
      </x:c>
      <x:c r="Y39" s="271" t="n">
        <x:f>IFERROR((S39-Q39)/Q39,0)</x:f>
        <x:v>0</x:v>
      </x:c>
      <x:c r="Z39" s="272"/>
      <x:c r="AA39" s="272"/>
      <x:c r="AB39" s="272"/>
      <x:c r="AC39" s="272" t="str">
        <x:f>IF(A39="","",ROUND((Z39+AA39)*10+X39*100-AB39*8,1))</x:f>
      </x:c>
      <x:c r="AD39" s="269"/>
      <x:c r="AE39" s="270" t="n">
        <x:f>IF(T39="",0,(S39*(1-XLOOKUP(T39,'平台参数'!$A$5:$A$9,'平台参数'!$F$5:$F$9,0)-XLOOKUP(T39,'平台参数'!$A$5:$A$9,'平台参数'!$G$5:$G$9,0))-XLOOKUP(T39,'平台参数'!$A$5:$A$9,'平台参数'!$I$5:$I$9,0))/1.18)</x:f>
        <x:v>0</x:v>
      </x:c>
      <x:c r="AF39" s="273" t="str">
        <x:f>IF(A39="","",IFERROR(MAX(_xlfn._xlws.FILTER('实时行情'!$H$5:$H$124,'实时行情'!$A$5:$A$124=A39)),TODAY()))</x:f>
      </x:c>
      <x:c r="AG39" s="274"/>
    </x:row>
    <x:row r="40">
      <x:c r="A40" s="268"/>
      <x:c r="B40" s="269"/>
      <x:c r="C40" s="269"/>
      <x:c r="D40" s="269"/>
      <x:c r="E40" s="269"/>
      <x:c r="F40" s="269"/>
      <x:c r="G40" s="270" t="n">
        <x:f>SUMIFS('实时行情'!$D$5:$D$124,'实时行情'!$A$5:$A$124,$A40,'实时行情'!$C$5:$C$124,"eBay")</x:f>
        <x:v>0</x:v>
      </x:c>
      <x:c r="H40" s="270" t="n">
        <x:f>SUMIFS('实时行情'!$D$5:$D$124,'实时行情'!$A$5:$A$124,$A40,'实时行情'!$C$5:$C$124,"ALT")</x:f>
        <x:v>0</x:v>
      </x:c>
      <x:c r="I40" s="270" t="n">
        <x:f>SUMIFS('实时行情'!$D$5:$D$124,'实时行情'!$A$5:$A$124,$A40,'实时行情'!$C$5:$C$124,"Card Hobby")</x:f>
        <x:v>0</x:v>
      </x:c>
      <x:c r="J40" s="270" t="n">
        <x:f>SUMIFS('实时行情'!$D$5:$D$124,'实时行情'!$A$5:$A$124,$A40,'实时行情'!$C$5:$C$124,"Fanatics Collect")</x:f>
        <x:v>0</x:v>
      </x:c>
      <x:c r="K40" s="270" t="n">
        <x:f>SUMIFS('实时行情'!$D$5:$D$124,'实时行情'!$A$5:$A$124,$A40,'实时行情'!$C$5:$C$124,"PokerColor")</x:f>
        <x:v>0</x:v>
      </x:c>
      <x:c r="L40" s="270" t="n">
        <x:f>SUMIFS('实时行情'!$E$5:$E$124,'实时行情'!$A$5:$A$124,$A40,'实时行情'!$C$5:$C$124,"eBay")</x:f>
        <x:v>0</x:v>
      </x:c>
      <x:c r="M40" s="270" t="n">
        <x:f>SUMIFS('实时行情'!$E$5:$E$124,'实时行情'!$A$5:$A$124,$A40,'实时行情'!$C$5:$C$124,"ALT")</x:f>
        <x:v>0</x:v>
      </x:c>
      <x:c r="N40" s="270" t="n">
        <x:f>SUMIFS('实时行情'!$E$5:$E$124,'实时行情'!$A$5:$A$124,$A40,'实时行情'!$C$5:$C$124,"Card Hobby")</x:f>
        <x:v>0</x:v>
      </x:c>
      <x:c r="O40" s="270" t="n">
        <x:f>SUMIFS('实时行情'!$E$5:$E$124,'实时行情'!$A$5:$A$124,$A40,'实时行情'!$C$5:$C$124,"Fanatics Collect")</x:f>
        <x:v>0</x:v>
      </x:c>
      <x:c r="P40" s="270" t="n">
        <x:f>SUMIFS('实时行情'!$E$5:$E$124,'实时行情'!$A$5:$A$124,$A40,'实时行情'!$C$5:$C$124,"PokerColor")</x:f>
        <x:v>0</x:v>
      </x:c>
      <x:c r="Q40" s="270" t="n">
        <x:f>IFERROR(MIN(_xlfn._xlws.FILTER(G40:K40,G40:K40&gt;0)),0)</x:f>
        <x:v>0</x:v>
      </x:c>
      <x:c r="R40" s="270" t="str">
        <x:f>IF(Q40=0,"",SUBSTITUTE(SUBSTITUTE(INDEX($G$4:$K$4,1,MATCH(Q40,G40:K40,0)),"买价",""),"Fanatics","Fanatics Collect"))</x:f>
      </x:c>
      <x:c r="S40" s="270" t="n">
        <x:f>IFERROR(MAX(_xlfn._xlws.FILTER(L40:P40,L40:P40&gt;0)),0)</x:f>
        <x:v>0</x:v>
      </x:c>
      <x:c r="T40" s="270" t="str">
        <x:f>IF(S40=0,"",SUBSTITUTE(SUBSTITUTE(INDEX($L$4:$P$4,1,MATCH(S40,L40:P40,0)),"卖价",""),"Fanatics","Fanatics Collect"))</x:f>
      </x:c>
      <x:c r="U40" s="270" t="n">
        <x:f>IF(Q40=0,0,Q40*(1+XLOOKUP(R40,'平台参数'!$A$5:$A$9,'平台参数'!$E$5:$E$9,0)+XLOOKUP(R40,'平台参数'!$A$5:$A$9,'平台参数'!$G$5:$G$9,0))+XLOOKUP(R40,'平台参数'!$A$5:$A$9,'平台参数'!$H$5:$H$9,0))</x:f>
        <x:v>0</x:v>
      </x:c>
      <x:c r="V40" s="270" t="n">
        <x:f>IF(S40=0,0,S40*(1-XLOOKUP(T40,'平台参数'!$A$5:$A$9,'平台参数'!$F$5:$F$9,0)-XLOOKUP(T40,'平台参数'!$A$5:$A$9,'平台参数'!$G$5:$G$9,0))-XLOOKUP(T40,'平台参数'!$A$5:$A$9,'平台参数'!$I$5:$I$9,0))</x:f>
        <x:v>0</x:v>
      </x:c>
      <x:c r="W40" s="270" t="n">
        <x:f>V40-U40</x:f>
        <x:v>0</x:v>
      </x:c>
      <x:c r="X40" s="271" t="n">
        <x:f>IFERROR(W40/U40,0)</x:f>
        <x:v>0</x:v>
      </x:c>
      <x:c r="Y40" s="271" t="n">
        <x:f>IFERROR((S40-Q40)/Q40,0)</x:f>
        <x:v>0</x:v>
      </x:c>
      <x:c r="Z40" s="272"/>
      <x:c r="AA40" s="272"/>
      <x:c r="AB40" s="272"/>
      <x:c r="AC40" s="272" t="str">
        <x:f>IF(A40="","",ROUND((Z40+AA40)*10+X40*100-AB40*8,1))</x:f>
      </x:c>
      <x:c r="AD40" s="269"/>
      <x:c r="AE40" s="270" t="n">
        <x:f>IF(T40="",0,(S40*(1-XLOOKUP(T40,'平台参数'!$A$5:$A$9,'平台参数'!$F$5:$F$9,0)-XLOOKUP(T40,'平台参数'!$A$5:$A$9,'平台参数'!$G$5:$G$9,0))-XLOOKUP(T40,'平台参数'!$A$5:$A$9,'平台参数'!$I$5:$I$9,0))/1.18)</x:f>
        <x:v>0</x:v>
      </x:c>
      <x:c r="AF40" s="273" t="str">
        <x:f>IF(A40="","",IFERROR(MAX(_xlfn._xlws.FILTER('实时行情'!$H$5:$H$124,'实时行情'!$A$5:$A$124=A40)),TODAY()))</x:f>
      </x:c>
      <x:c r="AG40" s="274"/>
    </x:row>
    <x:row r="41">
      <x:c r="A41" s="268"/>
      <x:c r="B41" s="269"/>
      <x:c r="C41" s="269"/>
      <x:c r="D41" s="269"/>
      <x:c r="E41" s="269"/>
      <x:c r="F41" s="269"/>
      <x:c r="G41" s="270" t="n">
        <x:f>SUMIFS('实时行情'!$D$5:$D$124,'实时行情'!$A$5:$A$124,$A41,'实时行情'!$C$5:$C$124,"eBay")</x:f>
        <x:v>0</x:v>
      </x:c>
      <x:c r="H41" s="270" t="n">
        <x:f>SUMIFS('实时行情'!$D$5:$D$124,'实时行情'!$A$5:$A$124,$A41,'实时行情'!$C$5:$C$124,"ALT")</x:f>
        <x:v>0</x:v>
      </x:c>
      <x:c r="I41" s="270" t="n">
        <x:f>SUMIFS('实时行情'!$D$5:$D$124,'实时行情'!$A$5:$A$124,$A41,'实时行情'!$C$5:$C$124,"Card Hobby")</x:f>
        <x:v>0</x:v>
      </x:c>
      <x:c r="J41" s="270" t="n">
        <x:f>SUMIFS('实时行情'!$D$5:$D$124,'实时行情'!$A$5:$A$124,$A41,'实时行情'!$C$5:$C$124,"Fanatics Collect")</x:f>
        <x:v>0</x:v>
      </x:c>
      <x:c r="K41" s="270" t="n">
        <x:f>SUMIFS('实时行情'!$D$5:$D$124,'实时行情'!$A$5:$A$124,$A41,'实时行情'!$C$5:$C$124,"PokerColor")</x:f>
        <x:v>0</x:v>
      </x:c>
      <x:c r="L41" s="270" t="n">
        <x:f>SUMIFS('实时行情'!$E$5:$E$124,'实时行情'!$A$5:$A$124,$A41,'实时行情'!$C$5:$C$124,"eBay")</x:f>
        <x:v>0</x:v>
      </x:c>
      <x:c r="M41" s="270" t="n">
        <x:f>SUMIFS('实时行情'!$E$5:$E$124,'实时行情'!$A$5:$A$124,$A41,'实时行情'!$C$5:$C$124,"ALT")</x:f>
        <x:v>0</x:v>
      </x:c>
      <x:c r="N41" s="270" t="n">
        <x:f>SUMIFS('实时行情'!$E$5:$E$124,'实时行情'!$A$5:$A$124,$A41,'实时行情'!$C$5:$C$124,"Card Hobby")</x:f>
        <x:v>0</x:v>
      </x:c>
      <x:c r="O41" s="270" t="n">
        <x:f>SUMIFS('实时行情'!$E$5:$E$124,'实时行情'!$A$5:$A$124,$A41,'实时行情'!$C$5:$C$124,"Fanatics Collect")</x:f>
        <x:v>0</x:v>
      </x:c>
      <x:c r="P41" s="270" t="n">
        <x:f>SUMIFS('实时行情'!$E$5:$E$124,'实时行情'!$A$5:$A$124,$A41,'实时行情'!$C$5:$C$124,"PokerColor")</x:f>
        <x:v>0</x:v>
      </x:c>
      <x:c r="Q41" s="270" t="n">
        <x:f>IFERROR(MIN(_xlfn._xlws.FILTER(G41:K41,G41:K41&gt;0)),0)</x:f>
        <x:v>0</x:v>
      </x:c>
      <x:c r="R41" s="270" t="str">
        <x:f>IF(Q41=0,"",SUBSTITUTE(SUBSTITUTE(INDEX($G$4:$K$4,1,MATCH(Q41,G41:K41,0)),"买价",""),"Fanatics","Fanatics Collect"))</x:f>
      </x:c>
      <x:c r="S41" s="270" t="n">
        <x:f>IFERROR(MAX(_xlfn._xlws.FILTER(L41:P41,L41:P41&gt;0)),0)</x:f>
        <x:v>0</x:v>
      </x:c>
      <x:c r="T41" s="270" t="str">
        <x:f>IF(S41=0,"",SUBSTITUTE(SUBSTITUTE(INDEX($L$4:$P$4,1,MATCH(S41,L41:P41,0)),"卖价",""),"Fanatics","Fanatics Collect"))</x:f>
      </x:c>
      <x:c r="U41" s="270" t="n">
        <x:f>IF(Q41=0,0,Q41*(1+XLOOKUP(R41,'平台参数'!$A$5:$A$9,'平台参数'!$E$5:$E$9,0)+XLOOKUP(R41,'平台参数'!$A$5:$A$9,'平台参数'!$G$5:$G$9,0))+XLOOKUP(R41,'平台参数'!$A$5:$A$9,'平台参数'!$H$5:$H$9,0))</x:f>
        <x:v>0</x:v>
      </x:c>
      <x:c r="V41" s="270" t="n">
        <x:f>IF(S41=0,0,S41*(1-XLOOKUP(T41,'平台参数'!$A$5:$A$9,'平台参数'!$F$5:$F$9,0)-XLOOKUP(T41,'平台参数'!$A$5:$A$9,'平台参数'!$G$5:$G$9,0))-XLOOKUP(T41,'平台参数'!$A$5:$A$9,'平台参数'!$I$5:$I$9,0))</x:f>
        <x:v>0</x:v>
      </x:c>
      <x:c r="W41" s="270" t="n">
        <x:f>V41-U41</x:f>
        <x:v>0</x:v>
      </x:c>
      <x:c r="X41" s="271" t="n">
        <x:f>IFERROR(W41/U41,0)</x:f>
        <x:v>0</x:v>
      </x:c>
      <x:c r="Y41" s="271" t="n">
        <x:f>IFERROR((S41-Q41)/Q41,0)</x:f>
        <x:v>0</x:v>
      </x:c>
      <x:c r="Z41" s="272"/>
      <x:c r="AA41" s="272"/>
      <x:c r="AB41" s="272"/>
      <x:c r="AC41" s="272" t="str">
        <x:f>IF(A41="","",ROUND((Z41+AA41)*10+X41*100-AB41*8,1))</x:f>
      </x:c>
      <x:c r="AD41" s="269"/>
      <x:c r="AE41" s="270" t="n">
        <x:f>IF(T41="",0,(S41*(1-XLOOKUP(T41,'平台参数'!$A$5:$A$9,'平台参数'!$F$5:$F$9,0)-XLOOKUP(T41,'平台参数'!$A$5:$A$9,'平台参数'!$G$5:$G$9,0))-XLOOKUP(T41,'平台参数'!$A$5:$A$9,'平台参数'!$I$5:$I$9,0))/1.18)</x:f>
        <x:v>0</x:v>
      </x:c>
      <x:c r="AF41" s="273" t="str">
        <x:f>IF(A41="","",IFERROR(MAX(_xlfn._xlws.FILTER('实时行情'!$H$5:$H$124,'实时行情'!$A$5:$A$124=A41)),TODAY()))</x:f>
      </x:c>
      <x:c r="AG41" s="274"/>
    </x:row>
    <x:row r="42">
      <x:c r="A42" s="268"/>
      <x:c r="B42" s="269"/>
      <x:c r="C42" s="269"/>
      <x:c r="D42" s="269"/>
      <x:c r="E42" s="269"/>
      <x:c r="F42" s="269"/>
      <x:c r="G42" s="270" t="n">
        <x:f>SUMIFS('实时行情'!$D$5:$D$124,'实时行情'!$A$5:$A$124,$A42,'实时行情'!$C$5:$C$124,"eBay")</x:f>
        <x:v>0</x:v>
      </x:c>
      <x:c r="H42" s="270" t="n">
        <x:f>SUMIFS('实时行情'!$D$5:$D$124,'实时行情'!$A$5:$A$124,$A42,'实时行情'!$C$5:$C$124,"ALT")</x:f>
        <x:v>0</x:v>
      </x:c>
      <x:c r="I42" s="270" t="n">
        <x:f>SUMIFS('实时行情'!$D$5:$D$124,'实时行情'!$A$5:$A$124,$A42,'实时行情'!$C$5:$C$124,"Card Hobby")</x:f>
        <x:v>0</x:v>
      </x:c>
      <x:c r="J42" s="270" t="n">
        <x:f>SUMIFS('实时行情'!$D$5:$D$124,'实时行情'!$A$5:$A$124,$A42,'实时行情'!$C$5:$C$124,"Fanatics Collect")</x:f>
        <x:v>0</x:v>
      </x:c>
      <x:c r="K42" s="270" t="n">
        <x:f>SUMIFS('实时行情'!$D$5:$D$124,'实时行情'!$A$5:$A$124,$A42,'实时行情'!$C$5:$C$124,"PokerColor")</x:f>
        <x:v>0</x:v>
      </x:c>
      <x:c r="L42" s="270" t="n">
        <x:f>SUMIFS('实时行情'!$E$5:$E$124,'实时行情'!$A$5:$A$124,$A42,'实时行情'!$C$5:$C$124,"eBay")</x:f>
        <x:v>0</x:v>
      </x:c>
      <x:c r="M42" s="270" t="n">
        <x:f>SUMIFS('实时行情'!$E$5:$E$124,'实时行情'!$A$5:$A$124,$A42,'实时行情'!$C$5:$C$124,"ALT")</x:f>
        <x:v>0</x:v>
      </x:c>
      <x:c r="N42" s="270" t="n">
        <x:f>SUMIFS('实时行情'!$E$5:$E$124,'实时行情'!$A$5:$A$124,$A42,'实时行情'!$C$5:$C$124,"Card Hobby")</x:f>
        <x:v>0</x:v>
      </x:c>
      <x:c r="O42" s="270" t="n">
        <x:f>SUMIFS('实时行情'!$E$5:$E$124,'实时行情'!$A$5:$A$124,$A42,'实时行情'!$C$5:$C$124,"Fanatics Collect")</x:f>
        <x:v>0</x:v>
      </x:c>
      <x:c r="P42" s="270" t="n">
        <x:f>SUMIFS('实时行情'!$E$5:$E$124,'实时行情'!$A$5:$A$124,$A42,'实时行情'!$C$5:$C$124,"PokerColor")</x:f>
        <x:v>0</x:v>
      </x:c>
      <x:c r="Q42" s="270" t="n">
        <x:f>IFERROR(MIN(_xlfn._xlws.FILTER(G42:K42,G42:K42&gt;0)),0)</x:f>
        <x:v>0</x:v>
      </x:c>
      <x:c r="R42" s="270" t="str">
        <x:f>IF(Q42=0,"",SUBSTITUTE(SUBSTITUTE(INDEX($G$4:$K$4,1,MATCH(Q42,G42:K42,0)),"买价",""),"Fanatics","Fanatics Collect"))</x:f>
      </x:c>
      <x:c r="S42" s="270" t="n">
        <x:f>IFERROR(MAX(_xlfn._xlws.FILTER(L42:P42,L42:P42&gt;0)),0)</x:f>
        <x:v>0</x:v>
      </x:c>
      <x:c r="T42" s="270" t="str">
        <x:f>IF(S42=0,"",SUBSTITUTE(SUBSTITUTE(INDEX($L$4:$P$4,1,MATCH(S42,L42:P42,0)),"卖价",""),"Fanatics","Fanatics Collect"))</x:f>
      </x:c>
      <x:c r="U42" s="270" t="n">
        <x:f>IF(Q42=0,0,Q42*(1+XLOOKUP(R42,'平台参数'!$A$5:$A$9,'平台参数'!$E$5:$E$9,0)+XLOOKUP(R42,'平台参数'!$A$5:$A$9,'平台参数'!$G$5:$G$9,0))+XLOOKUP(R42,'平台参数'!$A$5:$A$9,'平台参数'!$H$5:$H$9,0))</x:f>
        <x:v>0</x:v>
      </x:c>
      <x:c r="V42" s="270" t="n">
        <x:f>IF(S42=0,0,S42*(1-XLOOKUP(T42,'平台参数'!$A$5:$A$9,'平台参数'!$F$5:$F$9,0)-XLOOKUP(T42,'平台参数'!$A$5:$A$9,'平台参数'!$G$5:$G$9,0))-XLOOKUP(T42,'平台参数'!$A$5:$A$9,'平台参数'!$I$5:$I$9,0))</x:f>
        <x:v>0</x:v>
      </x:c>
      <x:c r="W42" s="270" t="n">
        <x:f>V42-U42</x:f>
        <x:v>0</x:v>
      </x:c>
      <x:c r="X42" s="271" t="n">
        <x:f>IFERROR(W42/U42,0)</x:f>
        <x:v>0</x:v>
      </x:c>
      <x:c r="Y42" s="271" t="n">
        <x:f>IFERROR((S42-Q42)/Q42,0)</x:f>
        <x:v>0</x:v>
      </x:c>
      <x:c r="Z42" s="272"/>
      <x:c r="AA42" s="272"/>
      <x:c r="AB42" s="272"/>
      <x:c r="AC42" s="272" t="str">
        <x:f>IF(A42="","",ROUND((Z42+AA42)*10+X42*100-AB42*8,1))</x:f>
      </x:c>
      <x:c r="AD42" s="269"/>
      <x:c r="AE42" s="270" t="n">
        <x:f>IF(T42="",0,(S42*(1-XLOOKUP(T42,'平台参数'!$A$5:$A$9,'平台参数'!$F$5:$F$9,0)-XLOOKUP(T42,'平台参数'!$A$5:$A$9,'平台参数'!$G$5:$G$9,0))-XLOOKUP(T42,'平台参数'!$A$5:$A$9,'平台参数'!$I$5:$I$9,0))/1.18)</x:f>
        <x:v>0</x:v>
      </x:c>
      <x:c r="AF42" s="273" t="str">
        <x:f>IF(A42="","",IFERROR(MAX(_xlfn._xlws.FILTER('实时行情'!$H$5:$H$124,'实时行情'!$A$5:$A$124=A42)),TODAY()))</x:f>
      </x:c>
      <x:c r="AG42" s="274"/>
    </x:row>
    <x:row r="43">
      <x:c r="A43" s="268"/>
      <x:c r="B43" s="269"/>
      <x:c r="C43" s="269"/>
      <x:c r="D43" s="269"/>
      <x:c r="E43" s="269"/>
      <x:c r="F43" s="269"/>
      <x:c r="G43" s="270" t="n">
        <x:f>SUMIFS('实时行情'!$D$5:$D$124,'实时行情'!$A$5:$A$124,$A43,'实时行情'!$C$5:$C$124,"eBay")</x:f>
        <x:v>0</x:v>
      </x:c>
      <x:c r="H43" s="270" t="n">
        <x:f>SUMIFS('实时行情'!$D$5:$D$124,'实时行情'!$A$5:$A$124,$A43,'实时行情'!$C$5:$C$124,"ALT")</x:f>
        <x:v>0</x:v>
      </x:c>
      <x:c r="I43" s="270" t="n">
        <x:f>SUMIFS('实时行情'!$D$5:$D$124,'实时行情'!$A$5:$A$124,$A43,'实时行情'!$C$5:$C$124,"Card Hobby")</x:f>
        <x:v>0</x:v>
      </x:c>
      <x:c r="J43" s="270" t="n">
        <x:f>SUMIFS('实时行情'!$D$5:$D$124,'实时行情'!$A$5:$A$124,$A43,'实时行情'!$C$5:$C$124,"Fanatics Collect")</x:f>
        <x:v>0</x:v>
      </x:c>
      <x:c r="K43" s="270" t="n">
        <x:f>SUMIFS('实时行情'!$D$5:$D$124,'实时行情'!$A$5:$A$124,$A43,'实时行情'!$C$5:$C$124,"PokerColor")</x:f>
        <x:v>0</x:v>
      </x:c>
      <x:c r="L43" s="270" t="n">
        <x:f>SUMIFS('实时行情'!$E$5:$E$124,'实时行情'!$A$5:$A$124,$A43,'实时行情'!$C$5:$C$124,"eBay")</x:f>
        <x:v>0</x:v>
      </x:c>
      <x:c r="M43" s="270" t="n">
        <x:f>SUMIFS('实时行情'!$E$5:$E$124,'实时行情'!$A$5:$A$124,$A43,'实时行情'!$C$5:$C$124,"ALT")</x:f>
        <x:v>0</x:v>
      </x:c>
      <x:c r="N43" s="270" t="n">
        <x:f>SUMIFS('实时行情'!$E$5:$E$124,'实时行情'!$A$5:$A$124,$A43,'实时行情'!$C$5:$C$124,"Card Hobby")</x:f>
        <x:v>0</x:v>
      </x:c>
      <x:c r="O43" s="270" t="n">
        <x:f>SUMIFS('实时行情'!$E$5:$E$124,'实时行情'!$A$5:$A$124,$A43,'实时行情'!$C$5:$C$124,"Fanatics Collect")</x:f>
        <x:v>0</x:v>
      </x:c>
      <x:c r="P43" s="270" t="n">
        <x:f>SUMIFS('实时行情'!$E$5:$E$124,'实时行情'!$A$5:$A$124,$A43,'实时行情'!$C$5:$C$124,"PokerColor")</x:f>
        <x:v>0</x:v>
      </x:c>
      <x:c r="Q43" s="270" t="n">
        <x:f>IFERROR(MIN(_xlfn._xlws.FILTER(G43:K43,G43:K43&gt;0)),0)</x:f>
        <x:v>0</x:v>
      </x:c>
      <x:c r="R43" s="270" t="str">
        <x:f>IF(Q43=0,"",SUBSTITUTE(SUBSTITUTE(INDEX($G$4:$K$4,1,MATCH(Q43,G43:K43,0)),"买价",""),"Fanatics","Fanatics Collect"))</x:f>
      </x:c>
      <x:c r="S43" s="270" t="n">
        <x:f>IFERROR(MAX(_xlfn._xlws.FILTER(L43:P43,L43:P43&gt;0)),0)</x:f>
        <x:v>0</x:v>
      </x:c>
      <x:c r="T43" s="270" t="str">
        <x:f>IF(S43=0,"",SUBSTITUTE(SUBSTITUTE(INDEX($L$4:$P$4,1,MATCH(S43,L43:P43,0)),"卖价",""),"Fanatics","Fanatics Collect"))</x:f>
      </x:c>
      <x:c r="U43" s="270" t="n">
        <x:f>IF(Q43=0,0,Q43*(1+XLOOKUP(R43,'平台参数'!$A$5:$A$9,'平台参数'!$E$5:$E$9,0)+XLOOKUP(R43,'平台参数'!$A$5:$A$9,'平台参数'!$G$5:$G$9,0))+XLOOKUP(R43,'平台参数'!$A$5:$A$9,'平台参数'!$H$5:$H$9,0))</x:f>
        <x:v>0</x:v>
      </x:c>
      <x:c r="V43" s="270" t="n">
        <x:f>IF(S43=0,0,S43*(1-XLOOKUP(T43,'平台参数'!$A$5:$A$9,'平台参数'!$F$5:$F$9,0)-XLOOKUP(T43,'平台参数'!$A$5:$A$9,'平台参数'!$G$5:$G$9,0))-XLOOKUP(T43,'平台参数'!$A$5:$A$9,'平台参数'!$I$5:$I$9,0))</x:f>
        <x:v>0</x:v>
      </x:c>
      <x:c r="W43" s="270" t="n">
        <x:f>V43-U43</x:f>
        <x:v>0</x:v>
      </x:c>
      <x:c r="X43" s="271" t="n">
        <x:f>IFERROR(W43/U43,0)</x:f>
        <x:v>0</x:v>
      </x:c>
      <x:c r="Y43" s="271" t="n">
        <x:f>IFERROR((S43-Q43)/Q43,0)</x:f>
        <x:v>0</x:v>
      </x:c>
      <x:c r="Z43" s="272"/>
      <x:c r="AA43" s="272"/>
      <x:c r="AB43" s="272"/>
      <x:c r="AC43" s="272" t="str">
        <x:f>IF(A43="","",ROUND((Z43+AA43)*10+X43*100-AB43*8,1))</x:f>
      </x:c>
      <x:c r="AD43" s="269"/>
      <x:c r="AE43" s="270" t="n">
        <x:f>IF(T43="",0,(S43*(1-XLOOKUP(T43,'平台参数'!$A$5:$A$9,'平台参数'!$F$5:$F$9,0)-XLOOKUP(T43,'平台参数'!$A$5:$A$9,'平台参数'!$G$5:$G$9,0))-XLOOKUP(T43,'平台参数'!$A$5:$A$9,'平台参数'!$I$5:$I$9,0))/1.18)</x:f>
        <x:v>0</x:v>
      </x:c>
      <x:c r="AF43" s="273" t="str">
        <x:f>IF(A43="","",IFERROR(MAX(_xlfn._xlws.FILTER('实时行情'!$H$5:$H$124,'实时行情'!$A$5:$A$124=A43)),TODAY()))</x:f>
      </x:c>
      <x:c r="AG43" s="274"/>
    </x:row>
    <x:row r="44">
      <x:c r="A44" s="268"/>
      <x:c r="B44" s="269"/>
      <x:c r="C44" s="269"/>
      <x:c r="D44" s="269"/>
      <x:c r="E44" s="269"/>
      <x:c r="F44" s="269"/>
      <x:c r="G44" s="270" t="n">
        <x:f>SUMIFS('实时行情'!$D$5:$D$124,'实时行情'!$A$5:$A$124,$A44,'实时行情'!$C$5:$C$124,"eBay")</x:f>
        <x:v>0</x:v>
      </x:c>
      <x:c r="H44" s="270" t="n">
        <x:f>SUMIFS('实时行情'!$D$5:$D$124,'实时行情'!$A$5:$A$124,$A44,'实时行情'!$C$5:$C$124,"ALT")</x:f>
        <x:v>0</x:v>
      </x:c>
      <x:c r="I44" s="270" t="n">
        <x:f>SUMIFS('实时行情'!$D$5:$D$124,'实时行情'!$A$5:$A$124,$A44,'实时行情'!$C$5:$C$124,"Card Hobby")</x:f>
        <x:v>0</x:v>
      </x:c>
      <x:c r="J44" s="270" t="n">
        <x:f>SUMIFS('实时行情'!$D$5:$D$124,'实时行情'!$A$5:$A$124,$A44,'实时行情'!$C$5:$C$124,"Fanatics Collect")</x:f>
        <x:v>0</x:v>
      </x:c>
      <x:c r="K44" s="270" t="n">
        <x:f>SUMIFS('实时行情'!$D$5:$D$124,'实时行情'!$A$5:$A$124,$A44,'实时行情'!$C$5:$C$124,"PokerColor")</x:f>
        <x:v>0</x:v>
      </x:c>
      <x:c r="L44" s="270" t="n">
        <x:f>SUMIFS('实时行情'!$E$5:$E$124,'实时行情'!$A$5:$A$124,$A44,'实时行情'!$C$5:$C$124,"eBay")</x:f>
        <x:v>0</x:v>
      </x:c>
      <x:c r="M44" s="270" t="n">
        <x:f>SUMIFS('实时行情'!$E$5:$E$124,'实时行情'!$A$5:$A$124,$A44,'实时行情'!$C$5:$C$124,"ALT")</x:f>
        <x:v>0</x:v>
      </x:c>
      <x:c r="N44" s="270" t="n">
        <x:f>SUMIFS('实时行情'!$E$5:$E$124,'实时行情'!$A$5:$A$124,$A44,'实时行情'!$C$5:$C$124,"Card Hobby")</x:f>
        <x:v>0</x:v>
      </x:c>
      <x:c r="O44" s="270" t="n">
        <x:f>SUMIFS('实时行情'!$E$5:$E$124,'实时行情'!$A$5:$A$124,$A44,'实时行情'!$C$5:$C$124,"Fanatics Collect")</x:f>
        <x:v>0</x:v>
      </x:c>
      <x:c r="P44" s="270" t="n">
        <x:f>SUMIFS('实时行情'!$E$5:$E$124,'实时行情'!$A$5:$A$124,$A44,'实时行情'!$C$5:$C$124,"PokerColor")</x:f>
        <x:v>0</x:v>
      </x:c>
      <x:c r="Q44" s="270" t="n">
        <x:f>IFERROR(MIN(_xlfn._xlws.FILTER(G44:K44,G44:K44&gt;0)),0)</x:f>
        <x:v>0</x:v>
      </x:c>
      <x:c r="R44" s="270" t="str">
        <x:f>IF(Q44=0,"",SUBSTITUTE(SUBSTITUTE(INDEX($G$4:$K$4,1,MATCH(Q44,G44:K44,0)),"买价",""),"Fanatics","Fanatics Collect"))</x:f>
      </x:c>
      <x:c r="S44" s="270" t="n">
        <x:f>IFERROR(MAX(_xlfn._xlws.FILTER(L44:P44,L44:P44&gt;0)),0)</x:f>
        <x:v>0</x:v>
      </x:c>
      <x:c r="T44" s="270" t="str">
        <x:f>IF(S44=0,"",SUBSTITUTE(SUBSTITUTE(INDEX($L$4:$P$4,1,MATCH(S44,L44:P44,0)),"卖价",""),"Fanatics","Fanatics Collect"))</x:f>
      </x:c>
      <x:c r="U44" s="270" t="n">
        <x:f>IF(Q44=0,0,Q44*(1+XLOOKUP(R44,'平台参数'!$A$5:$A$9,'平台参数'!$E$5:$E$9,0)+XLOOKUP(R44,'平台参数'!$A$5:$A$9,'平台参数'!$G$5:$G$9,0))+XLOOKUP(R44,'平台参数'!$A$5:$A$9,'平台参数'!$H$5:$H$9,0))</x:f>
        <x:v>0</x:v>
      </x:c>
      <x:c r="V44" s="270" t="n">
        <x:f>IF(S44=0,0,S44*(1-XLOOKUP(T44,'平台参数'!$A$5:$A$9,'平台参数'!$F$5:$F$9,0)-XLOOKUP(T44,'平台参数'!$A$5:$A$9,'平台参数'!$G$5:$G$9,0))-XLOOKUP(T44,'平台参数'!$A$5:$A$9,'平台参数'!$I$5:$I$9,0))</x:f>
        <x:v>0</x:v>
      </x:c>
      <x:c r="W44" s="270" t="n">
        <x:f>V44-U44</x:f>
        <x:v>0</x:v>
      </x:c>
      <x:c r="X44" s="271" t="n">
        <x:f>IFERROR(W44/U44,0)</x:f>
        <x:v>0</x:v>
      </x:c>
      <x:c r="Y44" s="271" t="n">
        <x:f>IFERROR((S44-Q44)/Q44,0)</x:f>
        <x:v>0</x:v>
      </x:c>
      <x:c r="Z44" s="272"/>
      <x:c r="AA44" s="272"/>
      <x:c r="AB44" s="272"/>
      <x:c r="AC44" s="272" t="str">
        <x:f>IF(A44="","",ROUND((Z44+AA44)*10+X44*100-AB44*8,1))</x:f>
      </x:c>
      <x:c r="AD44" s="269"/>
      <x:c r="AE44" s="270" t="n">
        <x:f>IF(T44="",0,(S44*(1-XLOOKUP(T44,'平台参数'!$A$5:$A$9,'平台参数'!$F$5:$F$9,0)-XLOOKUP(T44,'平台参数'!$A$5:$A$9,'平台参数'!$G$5:$G$9,0))-XLOOKUP(T44,'平台参数'!$A$5:$A$9,'平台参数'!$I$5:$I$9,0))/1.18)</x:f>
        <x:v>0</x:v>
      </x:c>
      <x:c r="AF44" s="273" t="str">
        <x:f>IF(A44="","",IFERROR(MAX(_xlfn._xlws.FILTER('实时行情'!$H$5:$H$124,'实时行情'!$A$5:$A$124=A44)),TODAY()))</x:f>
      </x:c>
      <x:c r="AG44" s="274"/>
    </x:row>
    <x:row r="45">
      <x:c r="A45" s="268"/>
      <x:c r="B45" s="269"/>
      <x:c r="C45" s="269"/>
      <x:c r="D45" s="269"/>
      <x:c r="E45" s="269"/>
      <x:c r="F45" s="269"/>
      <x:c r="G45" s="270" t="n">
        <x:f>SUMIFS('实时行情'!$D$5:$D$124,'实时行情'!$A$5:$A$124,$A45,'实时行情'!$C$5:$C$124,"eBay")</x:f>
        <x:v>0</x:v>
      </x:c>
      <x:c r="H45" s="270" t="n">
        <x:f>SUMIFS('实时行情'!$D$5:$D$124,'实时行情'!$A$5:$A$124,$A45,'实时行情'!$C$5:$C$124,"ALT")</x:f>
        <x:v>0</x:v>
      </x:c>
      <x:c r="I45" s="270" t="n">
        <x:f>SUMIFS('实时行情'!$D$5:$D$124,'实时行情'!$A$5:$A$124,$A45,'实时行情'!$C$5:$C$124,"Card Hobby")</x:f>
        <x:v>0</x:v>
      </x:c>
      <x:c r="J45" s="270" t="n">
        <x:f>SUMIFS('实时行情'!$D$5:$D$124,'实时行情'!$A$5:$A$124,$A45,'实时行情'!$C$5:$C$124,"Fanatics Collect")</x:f>
        <x:v>0</x:v>
      </x:c>
      <x:c r="K45" s="270" t="n">
        <x:f>SUMIFS('实时行情'!$D$5:$D$124,'实时行情'!$A$5:$A$124,$A45,'实时行情'!$C$5:$C$124,"PokerColor")</x:f>
        <x:v>0</x:v>
      </x:c>
      <x:c r="L45" s="270" t="n">
        <x:f>SUMIFS('实时行情'!$E$5:$E$124,'实时行情'!$A$5:$A$124,$A45,'实时行情'!$C$5:$C$124,"eBay")</x:f>
        <x:v>0</x:v>
      </x:c>
      <x:c r="M45" s="270" t="n">
        <x:f>SUMIFS('实时行情'!$E$5:$E$124,'实时行情'!$A$5:$A$124,$A45,'实时行情'!$C$5:$C$124,"ALT")</x:f>
        <x:v>0</x:v>
      </x:c>
      <x:c r="N45" s="270" t="n">
        <x:f>SUMIFS('实时行情'!$E$5:$E$124,'实时行情'!$A$5:$A$124,$A45,'实时行情'!$C$5:$C$124,"Card Hobby")</x:f>
        <x:v>0</x:v>
      </x:c>
      <x:c r="O45" s="270" t="n">
        <x:f>SUMIFS('实时行情'!$E$5:$E$124,'实时行情'!$A$5:$A$124,$A45,'实时行情'!$C$5:$C$124,"Fanatics Collect")</x:f>
        <x:v>0</x:v>
      </x:c>
      <x:c r="P45" s="270" t="n">
        <x:f>SUMIFS('实时行情'!$E$5:$E$124,'实时行情'!$A$5:$A$124,$A45,'实时行情'!$C$5:$C$124,"PokerColor")</x:f>
        <x:v>0</x:v>
      </x:c>
      <x:c r="Q45" s="270" t="n">
        <x:f>IFERROR(MIN(_xlfn._xlws.FILTER(G45:K45,G45:K45&gt;0)),0)</x:f>
        <x:v>0</x:v>
      </x:c>
      <x:c r="R45" s="270" t="str">
        <x:f>IF(Q45=0,"",SUBSTITUTE(SUBSTITUTE(INDEX($G$4:$K$4,1,MATCH(Q45,G45:K45,0)),"买价",""),"Fanatics","Fanatics Collect"))</x:f>
      </x:c>
      <x:c r="S45" s="270" t="n">
        <x:f>IFERROR(MAX(_xlfn._xlws.FILTER(L45:P45,L45:P45&gt;0)),0)</x:f>
        <x:v>0</x:v>
      </x:c>
      <x:c r="T45" s="270" t="str">
        <x:f>IF(S45=0,"",SUBSTITUTE(SUBSTITUTE(INDEX($L$4:$P$4,1,MATCH(S45,L45:P45,0)),"卖价",""),"Fanatics","Fanatics Collect"))</x:f>
      </x:c>
      <x:c r="U45" s="270" t="n">
        <x:f>IF(Q45=0,0,Q45*(1+XLOOKUP(R45,'平台参数'!$A$5:$A$9,'平台参数'!$E$5:$E$9,0)+XLOOKUP(R45,'平台参数'!$A$5:$A$9,'平台参数'!$G$5:$G$9,0))+XLOOKUP(R45,'平台参数'!$A$5:$A$9,'平台参数'!$H$5:$H$9,0))</x:f>
        <x:v>0</x:v>
      </x:c>
      <x:c r="V45" s="270" t="n">
        <x:f>IF(S45=0,0,S45*(1-XLOOKUP(T45,'平台参数'!$A$5:$A$9,'平台参数'!$F$5:$F$9,0)-XLOOKUP(T45,'平台参数'!$A$5:$A$9,'平台参数'!$G$5:$G$9,0))-XLOOKUP(T45,'平台参数'!$A$5:$A$9,'平台参数'!$I$5:$I$9,0))</x:f>
        <x:v>0</x:v>
      </x:c>
      <x:c r="W45" s="270" t="n">
        <x:f>V45-U45</x:f>
        <x:v>0</x:v>
      </x:c>
      <x:c r="X45" s="271" t="n">
        <x:f>IFERROR(W45/U45,0)</x:f>
        <x:v>0</x:v>
      </x:c>
      <x:c r="Y45" s="271" t="n">
        <x:f>IFERROR((S45-Q45)/Q45,0)</x:f>
        <x:v>0</x:v>
      </x:c>
      <x:c r="Z45" s="272"/>
      <x:c r="AA45" s="272"/>
      <x:c r="AB45" s="272"/>
      <x:c r="AC45" s="272" t="str">
        <x:f>IF(A45="","",ROUND((Z45+AA45)*10+X45*100-AB45*8,1))</x:f>
      </x:c>
      <x:c r="AD45" s="269"/>
      <x:c r="AE45" s="270" t="n">
        <x:f>IF(T45="",0,(S45*(1-XLOOKUP(T45,'平台参数'!$A$5:$A$9,'平台参数'!$F$5:$F$9,0)-XLOOKUP(T45,'平台参数'!$A$5:$A$9,'平台参数'!$G$5:$G$9,0))-XLOOKUP(T45,'平台参数'!$A$5:$A$9,'平台参数'!$I$5:$I$9,0))/1.18)</x:f>
        <x:v>0</x:v>
      </x:c>
      <x:c r="AF45" s="273" t="str">
        <x:f>IF(A45="","",IFERROR(MAX(_xlfn._xlws.FILTER('实时行情'!$H$5:$H$124,'实时行情'!$A$5:$A$124=A45)),TODAY()))</x:f>
      </x:c>
      <x:c r="AG45" s="274"/>
    </x:row>
    <x:row r="46">
      <x:c r="A46" s="268"/>
      <x:c r="B46" s="269"/>
      <x:c r="C46" s="269"/>
      <x:c r="D46" s="269"/>
      <x:c r="E46" s="269"/>
      <x:c r="F46" s="269"/>
      <x:c r="G46" s="270" t="n">
        <x:f>SUMIFS('实时行情'!$D$5:$D$124,'实时行情'!$A$5:$A$124,$A46,'实时行情'!$C$5:$C$124,"eBay")</x:f>
        <x:v>0</x:v>
      </x:c>
      <x:c r="H46" s="270" t="n">
        <x:f>SUMIFS('实时行情'!$D$5:$D$124,'实时行情'!$A$5:$A$124,$A46,'实时行情'!$C$5:$C$124,"ALT")</x:f>
        <x:v>0</x:v>
      </x:c>
      <x:c r="I46" s="270" t="n">
        <x:f>SUMIFS('实时行情'!$D$5:$D$124,'实时行情'!$A$5:$A$124,$A46,'实时行情'!$C$5:$C$124,"Card Hobby")</x:f>
        <x:v>0</x:v>
      </x:c>
      <x:c r="J46" s="270" t="n">
        <x:f>SUMIFS('实时行情'!$D$5:$D$124,'实时行情'!$A$5:$A$124,$A46,'实时行情'!$C$5:$C$124,"Fanatics Collect")</x:f>
        <x:v>0</x:v>
      </x:c>
      <x:c r="K46" s="270" t="n">
        <x:f>SUMIFS('实时行情'!$D$5:$D$124,'实时行情'!$A$5:$A$124,$A46,'实时行情'!$C$5:$C$124,"PokerColor")</x:f>
        <x:v>0</x:v>
      </x:c>
      <x:c r="L46" s="270" t="n">
        <x:f>SUMIFS('实时行情'!$E$5:$E$124,'实时行情'!$A$5:$A$124,$A46,'实时行情'!$C$5:$C$124,"eBay")</x:f>
        <x:v>0</x:v>
      </x:c>
      <x:c r="M46" s="270" t="n">
        <x:f>SUMIFS('实时行情'!$E$5:$E$124,'实时行情'!$A$5:$A$124,$A46,'实时行情'!$C$5:$C$124,"ALT")</x:f>
        <x:v>0</x:v>
      </x:c>
      <x:c r="N46" s="270" t="n">
        <x:f>SUMIFS('实时行情'!$E$5:$E$124,'实时行情'!$A$5:$A$124,$A46,'实时行情'!$C$5:$C$124,"Card Hobby")</x:f>
        <x:v>0</x:v>
      </x:c>
      <x:c r="O46" s="270" t="n">
        <x:f>SUMIFS('实时行情'!$E$5:$E$124,'实时行情'!$A$5:$A$124,$A46,'实时行情'!$C$5:$C$124,"Fanatics Collect")</x:f>
        <x:v>0</x:v>
      </x:c>
      <x:c r="P46" s="270" t="n">
        <x:f>SUMIFS('实时行情'!$E$5:$E$124,'实时行情'!$A$5:$A$124,$A46,'实时行情'!$C$5:$C$124,"PokerColor")</x:f>
        <x:v>0</x:v>
      </x:c>
      <x:c r="Q46" s="270" t="n">
        <x:f>IFERROR(MIN(_xlfn._xlws.FILTER(G46:K46,G46:K46&gt;0)),0)</x:f>
        <x:v>0</x:v>
      </x:c>
      <x:c r="R46" s="270" t="str">
        <x:f>IF(Q46=0,"",SUBSTITUTE(SUBSTITUTE(INDEX($G$4:$K$4,1,MATCH(Q46,G46:K46,0)),"买价",""),"Fanatics","Fanatics Collect"))</x:f>
      </x:c>
      <x:c r="S46" s="270" t="n">
        <x:f>IFERROR(MAX(_xlfn._xlws.FILTER(L46:P46,L46:P46&gt;0)),0)</x:f>
        <x:v>0</x:v>
      </x:c>
      <x:c r="T46" s="270" t="str">
        <x:f>IF(S46=0,"",SUBSTITUTE(SUBSTITUTE(INDEX($L$4:$P$4,1,MATCH(S46,L46:P46,0)),"卖价",""),"Fanatics","Fanatics Collect"))</x:f>
      </x:c>
      <x:c r="U46" s="270" t="n">
        <x:f>IF(Q46=0,0,Q46*(1+XLOOKUP(R46,'平台参数'!$A$5:$A$9,'平台参数'!$E$5:$E$9,0)+XLOOKUP(R46,'平台参数'!$A$5:$A$9,'平台参数'!$G$5:$G$9,0))+XLOOKUP(R46,'平台参数'!$A$5:$A$9,'平台参数'!$H$5:$H$9,0))</x:f>
        <x:v>0</x:v>
      </x:c>
      <x:c r="V46" s="270" t="n">
        <x:f>IF(S46=0,0,S46*(1-XLOOKUP(T46,'平台参数'!$A$5:$A$9,'平台参数'!$F$5:$F$9,0)-XLOOKUP(T46,'平台参数'!$A$5:$A$9,'平台参数'!$G$5:$G$9,0))-XLOOKUP(T46,'平台参数'!$A$5:$A$9,'平台参数'!$I$5:$I$9,0))</x:f>
        <x:v>0</x:v>
      </x:c>
      <x:c r="W46" s="270" t="n">
        <x:f>V46-U46</x:f>
        <x:v>0</x:v>
      </x:c>
      <x:c r="X46" s="271" t="n">
        <x:f>IFERROR(W46/U46,0)</x:f>
        <x:v>0</x:v>
      </x:c>
      <x:c r="Y46" s="271" t="n">
        <x:f>IFERROR((S46-Q46)/Q46,0)</x:f>
        <x:v>0</x:v>
      </x:c>
      <x:c r="Z46" s="272"/>
      <x:c r="AA46" s="272"/>
      <x:c r="AB46" s="272"/>
      <x:c r="AC46" s="272" t="str">
        <x:f>IF(A46="","",ROUND((Z46+AA46)*10+X46*100-AB46*8,1))</x:f>
      </x:c>
      <x:c r="AD46" s="269"/>
      <x:c r="AE46" s="270" t="n">
        <x:f>IF(T46="",0,(S46*(1-XLOOKUP(T46,'平台参数'!$A$5:$A$9,'平台参数'!$F$5:$F$9,0)-XLOOKUP(T46,'平台参数'!$A$5:$A$9,'平台参数'!$G$5:$G$9,0))-XLOOKUP(T46,'平台参数'!$A$5:$A$9,'平台参数'!$I$5:$I$9,0))/1.18)</x:f>
        <x:v>0</x:v>
      </x:c>
      <x:c r="AF46" s="273" t="str">
        <x:f>IF(A46="","",IFERROR(MAX(_xlfn._xlws.FILTER('实时行情'!$H$5:$H$124,'实时行情'!$A$5:$A$124=A46)),TODAY()))</x:f>
      </x:c>
      <x:c r="AG46" s="274"/>
    </x:row>
    <x:row r="47">
      <x:c r="A47" s="268"/>
      <x:c r="B47" s="269"/>
      <x:c r="C47" s="269"/>
      <x:c r="D47" s="269"/>
      <x:c r="E47" s="269"/>
      <x:c r="F47" s="269"/>
      <x:c r="G47" s="270" t="n">
        <x:f>SUMIFS('实时行情'!$D$5:$D$124,'实时行情'!$A$5:$A$124,$A47,'实时行情'!$C$5:$C$124,"eBay")</x:f>
        <x:v>0</x:v>
      </x:c>
      <x:c r="H47" s="270" t="n">
        <x:f>SUMIFS('实时行情'!$D$5:$D$124,'实时行情'!$A$5:$A$124,$A47,'实时行情'!$C$5:$C$124,"ALT")</x:f>
        <x:v>0</x:v>
      </x:c>
      <x:c r="I47" s="270" t="n">
        <x:f>SUMIFS('实时行情'!$D$5:$D$124,'实时行情'!$A$5:$A$124,$A47,'实时行情'!$C$5:$C$124,"Card Hobby")</x:f>
        <x:v>0</x:v>
      </x:c>
      <x:c r="J47" s="270" t="n">
        <x:f>SUMIFS('实时行情'!$D$5:$D$124,'实时行情'!$A$5:$A$124,$A47,'实时行情'!$C$5:$C$124,"Fanatics Collect")</x:f>
        <x:v>0</x:v>
      </x:c>
      <x:c r="K47" s="270" t="n">
        <x:f>SUMIFS('实时行情'!$D$5:$D$124,'实时行情'!$A$5:$A$124,$A47,'实时行情'!$C$5:$C$124,"PokerColor")</x:f>
        <x:v>0</x:v>
      </x:c>
      <x:c r="L47" s="270" t="n">
        <x:f>SUMIFS('实时行情'!$E$5:$E$124,'实时行情'!$A$5:$A$124,$A47,'实时行情'!$C$5:$C$124,"eBay")</x:f>
        <x:v>0</x:v>
      </x:c>
      <x:c r="M47" s="270" t="n">
        <x:f>SUMIFS('实时行情'!$E$5:$E$124,'实时行情'!$A$5:$A$124,$A47,'实时行情'!$C$5:$C$124,"ALT")</x:f>
        <x:v>0</x:v>
      </x:c>
      <x:c r="N47" s="270" t="n">
        <x:f>SUMIFS('实时行情'!$E$5:$E$124,'实时行情'!$A$5:$A$124,$A47,'实时行情'!$C$5:$C$124,"Card Hobby")</x:f>
        <x:v>0</x:v>
      </x:c>
      <x:c r="O47" s="270" t="n">
        <x:f>SUMIFS('实时行情'!$E$5:$E$124,'实时行情'!$A$5:$A$124,$A47,'实时行情'!$C$5:$C$124,"Fanatics Collect")</x:f>
        <x:v>0</x:v>
      </x:c>
      <x:c r="P47" s="270" t="n">
        <x:f>SUMIFS('实时行情'!$E$5:$E$124,'实时行情'!$A$5:$A$124,$A47,'实时行情'!$C$5:$C$124,"PokerColor")</x:f>
        <x:v>0</x:v>
      </x:c>
      <x:c r="Q47" s="270" t="n">
        <x:f>IFERROR(MIN(_xlfn._xlws.FILTER(G47:K47,G47:K47&gt;0)),0)</x:f>
        <x:v>0</x:v>
      </x:c>
      <x:c r="R47" s="270" t="str">
        <x:f>IF(Q47=0,"",SUBSTITUTE(SUBSTITUTE(INDEX($G$4:$K$4,1,MATCH(Q47,G47:K47,0)),"买价",""),"Fanatics","Fanatics Collect"))</x:f>
      </x:c>
      <x:c r="S47" s="270" t="n">
        <x:f>IFERROR(MAX(_xlfn._xlws.FILTER(L47:P47,L47:P47&gt;0)),0)</x:f>
        <x:v>0</x:v>
      </x:c>
      <x:c r="T47" s="270" t="str">
        <x:f>IF(S47=0,"",SUBSTITUTE(SUBSTITUTE(INDEX($L$4:$P$4,1,MATCH(S47,L47:P47,0)),"卖价",""),"Fanatics","Fanatics Collect"))</x:f>
      </x:c>
      <x:c r="U47" s="270" t="n">
        <x:f>IF(Q47=0,0,Q47*(1+XLOOKUP(R47,'平台参数'!$A$5:$A$9,'平台参数'!$E$5:$E$9,0)+XLOOKUP(R47,'平台参数'!$A$5:$A$9,'平台参数'!$G$5:$G$9,0))+XLOOKUP(R47,'平台参数'!$A$5:$A$9,'平台参数'!$H$5:$H$9,0))</x:f>
        <x:v>0</x:v>
      </x:c>
      <x:c r="V47" s="270" t="n">
        <x:f>IF(S47=0,0,S47*(1-XLOOKUP(T47,'平台参数'!$A$5:$A$9,'平台参数'!$F$5:$F$9,0)-XLOOKUP(T47,'平台参数'!$A$5:$A$9,'平台参数'!$G$5:$G$9,0))-XLOOKUP(T47,'平台参数'!$A$5:$A$9,'平台参数'!$I$5:$I$9,0))</x:f>
        <x:v>0</x:v>
      </x:c>
      <x:c r="W47" s="270" t="n">
        <x:f>V47-U47</x:f>
        <x:v>0</x:v>
      </x:c>
      <x:c r="X47" s="271" t="n">
        <x:f>IFERROR(W47/U47,0)</x:f>
        <x:v>0</x:v>
      </x:c>
      <x:c r="Y47" s="271" t="n">
        <x:f>IFERROR((S47-Q47)/Q47,0)</x:f>
        <x:v>0</x:v>
      </x:c>
      <x:c r="Z47" s="272"/>
      <x:c r="AA47" s="272"/>
      <x:c r="AB47" s="272"/>
      <x:c r="AC47" s="272" t="str">
        <x:f>IF(A47="","",ROUND((Z47+AA47)*10+X47*100-AB47*8,1))</x:f>
      </x:c>
      <x:c r="AD47" s="269"/>
      <x:c r="AE47" s="270" t="n">
        <x:f>IF(T47="",0,(S47*(1-XLOOKUP(T47,'平台参数'!$A$5:$A$9,'平台参数'!$F$5:$F$9,0)-XLOOKUP(T47,'平台参数'!$A$5:$A$9,'平台参数'!$G$5:$G$9,0))-XLOOKUP(T47,'平台参数'!$A$5:$A$9,'平台参数'!$I$5:$I$9,0))/1.18)</x:f>
        <x:v>0</x:v>
      </x:c>
      <x:c r="AF47" s="273" t="str">
        <x:f>IF(A47="","",IFERROR(MAX(_xlfn._xlws.FILTER('实时行情'!$H$5:$H$124,'实时行情'!$A$5:$A$124=A47)),TODAY()))</x:f>
      </x:c>
      <x:c r="AG47" s="274"/>
    </x:row>
    <x:row r="48">
      <x:c r="A48" s="268"/>
      <x:c r="B48" s="269"/>
      <x:c r="C48" s="269"/>
      <x:c r="D48" s="269"/>
      <x:c r="E48" s="269"/>
      <x:c r="F48" s="269"/>
      <x:c r="G48" s="270" t="n">
        <x:f>SUMIFS('实时行情'!$D$5:$D$124,'实时行情'!$A$5:$A$124,$A48,'实时行情'!$C$5:$C$124,"eBay")</x:f>
        <x:v>0</x:v>
      </x:c>
      <x:c r="H48" s="270" t="n">
        <x:f>SUMIFS('实时行情'!$D$5:$D$124,'实时行情'!$A$5:$A$124,$A48,'实时行情'!$C$5:$C$124,"ALT")</x:f>
        <x:v>0</x:v>
      </x:c>
      <x:c r="I48" s="270" t="n">
        <x:f>SUMIFS('实时行情'!$D$5:$D$124,'实时行情'!$A$5:$A$124,$A48,'实时行情'!$C$5:$C$124,"Card Hobby")</x:f>
        <x:v>0</x:v>
      </x:c>
      <x:c r="J48" s="270" t="n">
        <x:f>SUMIFS('实时行情'!$D$5:$D$124,'实时行情'!$A$5:$A$124,$A48,'实时行情'!$C$5:$C$124,"Fanatics Collect")</x:f>
        <x:v>0</x:v>
      </x:c>
      <x:c r="K48" s="270" t="n">
        <x:f>SUMIFS('实时行情'!$D$5:$D$124,'实时行情'!$A$5:$A$124,$A48,'实时行情'!$C$5:$C$124,"PokerColor")</x:f>
        <x:v>0</x:v>
      </x:c>
      <x:c r="L48" s="270" t="n">
        <x:f>SUMIFS('实时行情'!$E$5:$E$124,'实时行情'!$A$5:$A$124,$A48,'实时行情'!$C$5:$C$124,"eBay")</x:f>
        <x:v>0</x:v>
      </x:c>
      <x:c r="M48" s="270" t="n">
        <x:f>SUMIFS('实时行情'!$E$5:$E$124,'实时行情'!$A$5:$A$124,$A48,'实时行情'!$C$5:$C$124,"ALT")</x:f>
        <x:v>0</x:v>
      </x:c>
      <x:c r="N48" s="270" t="n">
        <x:f>SUMIFS('实时行情'!$E$5:$E$124,'实时行情'!$A$5:$A$124,$A48,'实时行情'!$C$5:$C$124,"Card Hobby")</x:f>
        <x:v>0</x:v>
      </x:c>
      <x:c r="O48" s="270" t="n">
        <x:f>SUMIFS('实时行情'!$E$5:$E$124,'实时行情'!$A$5:$A$124,$A48,'实时行情'!$C$5:$C$124,"Fanatics Collect")</x:f>
        <x:v>0</x:v>
      </x:c>
      <x:c r="P48" s="270" t="n">
        <x:f>SUMIFS('实时行情'!$E$5:$E$124,'实时行情'!$A$5:$A$124,$A48,'实时行情'!$C$5:$C$124,"PokerColor")</x:f>
        <x:v>0</x:v>
      </x:c>
      <x:c r="Q48" s="270" t="n">
        <x:f>IFERROR(MIN(_xlfn._xlws.FILTER(G48:K48,G48:K48&gt;0)),0)</x:f>
        <x:v>0</x:v>
      </x:c>
      <x:c r="R48" s="270" t="str">
        <x:f>IF(Q48=0,"",SUBSTITUTE(SUBSTITUTE(INDEX($G$4:$K$4,1,MATCH(Q48,G48:K48,0)),"买价",""),"Fanatics","Fanatics Collect"))</x:f>
      </x:c>
      <x:c r="S48" s="270" t="n">
        <x:f>IFERROR(MAX(_xlfn._xlws.FILTER(L48:P48,L48:P48&gt;0)),0)</x:f>
        <x:v>0</x:v>
      </x:c>
      <x:c r="T48" s="270" t="str">
        <x:f>IF(S48=0,"",SUBSTITUTE(SUBSTITUTE(INDEX($L$4:$P$4,1,MATCH(S48,L48:P48,0)),"卖价",""),"Fanatics","Fanatics Collect"))</x:f>
      </x:c>
      <x:c r="U48" s="270" t="n">
        <x:f>IF(Q48=0,0,Q48*(1+XLOOKUP(R48,'平台参数'!$A$5:$A$9,'平台参数'!$E$5:$E$9,0)+XLOOKUP(R48,'平台参数'!$A$5:$A$9,'平台参数'!$G$5:$G$9,0))+XLOOKUP(R48,'平台参数'!$A$5:$A$9,'平台参数'!$H$5:$H$9,0))</x:f>
        <x:v>0</x:v>
      </x:c>
      <x:c r="V48" s="270" t="n">
        <x:f>IF(S48=0,0,S48*(1-XLOOKUP(T48,'平台参数'!$A$5:$A$9,'平台参数'!$F$5:$F$9,0)-XLOOKUP(T48,'平台参数'!$A$5:$A$9,'平台参数'!$G$5:$G$9,0))-XLOOKUP(T48,'平台参数'!$A$5:$A$9,'平台参数'!$I$5:$I$9,0))</x:f>
        <x:v>0</x:v>
      </x:c>
      <x:c r="W48" s="270" t="n">
        <x:f>V48-U48</x:f>
        <x:v>0</x:v>
      </x:c>
      <x:c r="X48" s="271" t="n">
        <x:f>IFERROR(W48/U48,0)</x:f>
        <x:v>0</x:v>
      </x:c>
      <x:c r="Y48" s="271" t="n">
        <x:f>IFERROR((S48-Q48)/Q48,0)</x:f>
        <x:v>0</x:v>
      </x:c>
      <x:c r="Z48" s="272"/>
      <x:c r="AA48" s="272"/>
      <x:c r="AB48" s="272"/>
      <x:c r="AC48" s="272" t="str">
        <x:f>IF(A48="","",ROUND((Z48+AA48)*10+X48*100-AB48*8,1))</x:f>
      </x:c>
      <x:c r="AD48" s="269"/>
      <x:c r="AE48" s="270" t="n">
        <x:f>IF(T48="",0,(S48*(1-XLOOKUP(T48,'平台参数'!$A$5:$A$9,'平台参数'!$F$5:$F$9,0)-XLOOKUP(T48,'平台参数'!$A$5:$A$9,'平台参数'!$G$5:$G$9,0))-XLOOKUP(T48,'平台参数'!$A$5:$A$9,'平台参数'!$I$5:$I$9,0))/1.18)</x:f>
        <x:v>0</x:v>
      </x:c>
      <x:c r="AF48" s="273" t="str">
        <x:f>IF(A48="","",IFERROR(MAX(_xlfn._xlws.FILTER('实时行情'!$H$5:$H$124,'实时行情'!$A$5:$A$124=A48)),TODAY()))</x:f>
      </x:c>
      <x:c r="AG48" s="274"/>
    </x:row>
    <x:row r="49">
      <x:c r="A49" s="268"/>
      <x:c r="B49" s="269"/>
      <x:c r="C49" s="269"/>
      <x:c r="D49" s="269"/>
      <x:c r="E49" s="269"/>
      <x:c r="F49" s="269"/>
      <x:c r="G49" s="270" t="n">
        <x:f>SUMIFS('实时行情'!$D$5:$D$124,'实时行情'!$A$5:$A$124,$A49,'实时行情'!$C$5:$C$124,"eBay")</x:f>
        <x:v>0</x:v>
      </x:c>
      <x:c r="H49" s="270" t="n">
        <x:f>SUMIFS('实时行情'!$D$5:$D$124,'实时行情'!$A$5:$A$124,$A49,'实时行情'!$C$5:$C$124,"ALT")</x:f>
        <x:v>0</x:v>
      </x:c>
      <x:c r="I49" s="270" t="n">
        <x:f>SUMIFS('实时行情'!$D$5:$D$124,'实时行情'!$A$5:$A$124,$A49,'实时行情'!$C$5:$C$124,"Card Hobby")</x:f>
        <x:v>0</x:v>
      </x:c>
      <x:c r="J49" s="270" t="n">
        <x:f>SUMIFS('实时行情'!$D$5:$D$124,'实时行情'!$A$5:$A$124,$A49,'实时行情'!$C$5:$C$124,"Fanatics Collect")</x:f>
        <x:v>0</x:v>
      </x:c>
      <x:c r="K49" s="270" t="n">
        <x:f>SUMIFS('实时行情'!$D$5:$D$124,'实时行情'!$A$5:$A$124,$A49,'实时行情'!$C$5:$C$124,"PokerColor")</x:f>
        <x:v>0</x:v>
      </x:c>
      <x:c r="L49" s="270" t="n">
        <x:f>SUMIFS('实时行情'!$E$5:$E$124,'实时行情'!$A$5:$A$124,$A49,'实时行情'!$C$5:$C$124,"eBay")</x:f>
        <x:v>0</x:v>
      </x:c>
      <x:c r="M49" s="270" t="n">
        <x:f>SUMIFS('实时行情'!$E$5:$E$124,'实时行情'!$A$5:$A$124,$A49,'实时行情'!$C$5:$C$124,"ALT")</x:f>
        <x:v>0</x:v>
      </x:c>
      <x:c r="N49" s="270" t="n">
        <x:f>SUMIFS('实时行情'!$E$5:$E$124,'实时行情'!$A$5:$A$124,$A49,'实时行情'!$C$5:$C$124,"Card Hobby")</x:f>
        <x:v>0</x:v>
      </x:c>
      <x:c r="O49" s="270" t="n">
        <x:f>SUMIFS('实时行情'!$E$5:$E$124,'实时行情'!$A$5:$A$124,$A49,'实时行情'!$C$5:$C$124,"Fanatics Collect")</x:f>
        <x:v>0</x:v>
      </x:c>
      <x:c r="P49" s="270" t="n">
        <x:f>SUMIFS('实时行情'!$E$5:$E$124,'实时行情'!$A$5:$A$124,$A49,'实时行情'!$C$5:$C$124,"PokerColor")</x:f>
        <x:v>0</x:v>
      </x:c>
      <x:c r="Q49" s="270" t="n">
        <x:f>IFERROR(MIN(_xlfn._xlws.FILTER(G49:K49,G49:K49&gt;0)),0)</x:f>
        <x:v>0</x:v>
      </x:c>
      <x:c r="R49" s="270" t="str">
        <x:f>IF(Q49=0,"",SUBSTITUTE(SUBSTITUTE(INDEX($G$4:$K$4,1,MATCH(Q49,G49:K49,0)),"买价",""),"Fanatics","Fanatics Collect"))</x:f>
      </x:c>
      <x:c r="S49" s="270" t="n">
        <x:f>IFERROR(MAX(_xlfn._xlws.FILTER(L49:P49,L49:P49&gt;0)),0)</x:f>
        <x:v>0</x:v>
      </x:c>
      <x:c r="T49" s="270" t="str">
        <x:f>IF(S49=0,"",SUBSTITUTE(SUBSTITUTE(INDEX($L$4:$P$4,1,MATCH(S49,L49:P49,0)),"卖价",""),"Fanatics","Fanatics Collect"))</x:f>
      </x:c>
      <x:c r="U49" s="270" t="n">
        <x:f>IF(Q49=0,0,Q49*(1+XLOOKUP(R49,'平台参数'!$A$5:$A$9,'平台参数'!$E$5:$E$9,0)+XLOOKUP(R49,'平台参数'!$A$5:$A$9,'平台参数'!$G$5:$G$9,0))+XLOOKUP(R49,'平台参数'!$A$5:$A$9,'平台参数'!$H$5:$H$9,0))</x:f>
        <x:v>0</x:v>
      </x:c>
      <x:c r="V49" s="270" t="n">
        <x:f>IF(S49=0,0,S49*(1-XLOOKUP(T49,'平台参数'!$A$5:$A$9,'平台参数'!$F$5:$F$9,0)-XLOOKUP(T49,'平台参数'!$A$5:$A$9,'平台参数'!$G$5:$G$9,0))-XLOOKUP(T49,'平台参数'!$A$5:$A$9,'平台参数'!$I$5:$I$9,0))</x:f>
        <x:v>0</x:v>
      </x:c>
      <x:c r="W49" s="270" t="n">
        <x:f>V49-U49</x:f>
        <x:v>0</x:v>
      </x:c>
      <x:c r="X49" s="271" t="n">
        <x:f>IFERROR(W49/U49,0)</x:f>
        <x:v>0</x:v>
      </x:c>
      <x:c r="Y49" s="271" t="n">
        <x:f>IFERROR((S49-Q49)/Q49,0)</x:f>
        <x:v>0</x:v>
      </x:c>
      <x:c r="Z49" s="272"/>
      <x:c r="AA49" s="272"/>
      <x:c r="AB49" s="272"/>
      <x:c r="AC49" s="272" t="str">
        <x:f>IF(A49="","",ROUND((Z49+AA49)*10+X49*100-AB49*8,1))</x:f>
      </x:c>
      <x:c r="AD49" s="269"/>
      <x:c r="AE49" s="270" t="n">
        <x:f>IF(T49="",0,(S49*(1-XLOOKUP(T49,'平台参数'!$A$5:$A$9,'平台参数'!$F$5:$F$9,0)-XLOOKUP(T49,'平台参数'!$A$5:$A$9,'平台参数'!$G$5:$G$9,0))-XLOOKUP(T49,'平台参数'!$A$5:$A$9,'平台参数'!$I$5:$I$9,0))/1.18)</x:f>
        <x:v>0</x:v>
      </x:c>
      <x:c r="AF49" s="273" t="str">
        <x:f>IF(A49="","",IFERROR(MAX(_xlfn._xlws.FILTER('实时行情'!$H$5:$H$124,'实时行情'!$A$5:$A$124=A49)),TODAY()))</x:f>
      </x:c>
      <x:c r="AG49" s="274"/>
    </x:row>
    <x:row r="50">
      <x:c r="A50" s="268"/>
      <x:c r="B50" s="269"/>
      <x:c r="C50" s="269"/>
      <x:c r="D50" s="269"/>
      <x:c r="E50" s="269"/>
      <x:c r="F50" s="269"/>
      <x:c r="G50" s="270" t="n">
        <x:f>SUMIFS('实时行情'!$D$5:$D$124,'实时行情'!$A$5:$A$124,$A50,'实时行情'!$C$5:$C$124,"eBay")</x:f>
        <x:v>0</x:v>
      </x:c>
      <x:c r="H50" s="270" t="n">
        <x:f>SUMIFS('实时行情'!$D$5:$D$124,'实时行情'!$A$5:$A$124,$A50,'实时行情'!$C$5:$C$124,"ALT")</x:f>
        <x:v>0</x:v>
      </x:c>
      <x:c r="I50" s="270" t="n">
        <x:f>SUMIFS('实时行情'!$D$5:$D$124,'实时行情'!$A$5:$A$124,$A50,'实时行情'!$C$5:$C$124,"Card Hobby")</x:f>
        <x:v>0</x:v>
      </x:c>
      <x:c r="J50" s="270" t="n">
        <x:f>SUMIFS('实时行情'!$D$5:$D$124,'实时行情'!$A$5:$A$124,$A50,'实时行情'!$C$5:$C$124,"Fanatics Collect")</x:f>
        <x:v>0</x:v>
      </x:c>
      <x:c r="K50" s="270" t="n">
        <x:f>SUMIFS('实时行情'!$D$5:$D$124,'实时行情'!$A$5:$A$124,$A50,'实时行情'!$C$5:$C$124,"PokerColor")</x:f>
        <x:v>0</x:v>
      </x:c>
      <x:c r="L50" s="270" t="n">
        <x:f>SUMIFS('实时行情'!$E$5:$E$124,'实时行情'!$A$5:$A$124,$A50,'实时行情'!$C$5:$C$124,"eBay")</x:f>
        <x:v>0</x:v>
      </x:c>
      <x:c r="M50" s="270" t="n">
        <x:f>SUMIFS('实时行情'!$E$5:$E$124,'实时行情'!$A$5:$A$124,$A50,'实时行情'!$C$5:$C$124,"ALT")</x:f>
        <x:v>0</x:v>
      </x:c>
      <x:c r="N50" s="270" t="n">
        <x:f>SUMIFS('实时行情'!$E$5:$E$124,'实时行情'!$A$5:$A$124,$A50,'实时行情'!$C$5:$C$124,"Card Hobby")</x:f>
        <x:v>0</x:v>
      </x:c>
      <x:c r="O50" s="270" t="n">
        <x:f>SUMIFS('实时行情'!$E$5:$E$124,'实时行情'!$A$5:$A$124,$A50,'实时行情'!$C$5:$C$124,"Fanatics Collect")</x:f>
        <x:v>0</x:v>
      </x:c>
      <x:c r="P50" s="270" t="n">
        <x:f>SUMIFS('实时行情'!$E$5:$E$124,'实时行情'!$A$5:$A$124,$A50,'实时行情'!$C$5:$C$124,"PokerColor")</x:f>
        <x:v>0</x:v>
      </x:c>
      <x:c r="Q50" s="270" t="n">
        <x:f>IFERROR(MIN(_xlfn._xlws.FILTER(G50:K50,G50:K50&gt;0)),0)</x:f>
        <x:v>0</x:v>
      </x:c>
      <x:c r="R50" s="270" t="str">
        <x:f>IF(Q50=0,"",SUBSTITUTE(SUBSTITUTE(INDEX($G$4:$K$4,1,MATCH(Q50,G50:K50,0)),"买价",""),"Fanatics","Fanatics Collect"))</x:f>
      </x:c>
      <x:c r="S50" s="270" t="n">
        <x:f>IFERROR(MAX(_xlfn._xlws.FILTER(L50:P50,L50:P50&gt;0)),0)</x:f>
        <x:v>0</x:v>
      </x:c>
      <x:c r="T50" s="270" t="str">
        <x:f>IF(S50=0,"",SUBSTITUTE(SUBSTITUTE(INDEX($L$4:$P$4,1,MATCH(S50,L50:P50,0)),"卖价",""),"Fanatics","Fanatics Collect"))</x:f>
      </x:c>
      <x:c r="U50" s="270" t="n">
        <x:f>IF(Q50=0,0,Q50*(1+XLOOKUP(R50,'平台参数'!$A$5:$A$9,'平台参数'!$E$5:$E$9,0)+XLOOKUP(R50,'平台参数'!$A$5:$A$9,'平台参数'!$G$5:$G$9,0))+XLOOKUP(R50,'平台参数'!$A$5:$A$9,'平台参数'!$H$5:$H$9,0))</x:f>
        <x:v>0</x:v>
      </x:c>
      <x:c r="V50" s="270" t="n">
        <x:f>IF(S50=0,0,S50*(1-XLOOKUP(T50,'平台参数'!$A$5:$A$9,'平台参数'!$F$5:$F$9,0)-XLOOKUP(T50,'平台参数'!$A$5:$A$9,'平台参数'!$G$5:$G$9,0))-XLOOKUP(T50,'平台参数'!$A$5:$A$9,'平台参数'!$I$5:$I$9,0))</x:f>
        <x:v>0</x:v>
      </x:c>
      <x:c r="W50" s="270" t="n">
        <x:f>V50-U50</x:f>
        <x:v>0</x:v>
      </x:c>
      <x:c r="X50" s="271" t="n">
        <x:f>IFERROR(W50/U50,0)</x:f>
        <x:v>0</x:v>
      </x:c>
      <x:c r="Y50" s="271" t="n">
        <x:f>IFERROR((S50-Q50)/Q50,0)</x:f>
        <x:v>0</x:v>
      </x:c>
      <x:c r="Z50" s="272"/>
      <x:c r="AA50" s="272"/>
      <x:c r="AB50" s="272"/>
      <x:c r="AC50" s="272" t="str">
        <x:f>IF(A50="","",ROUND((Z50+AA50)*10+X50*100-AB50*8,1))</x:f>
      </x:c>
      <x:c r="AD50" s="269"/>
      <x:c r="AE50" s="270" t="n">
        <x:f>IF(T50="",0,(S50*(1-XLOOKUP(T50,'平台参数'!$A$5:$A$9,'平台参数'!$F$5:$F$9,0)-XLOOKUP(T50,'平台参数'!$A$5:$A$9,'平台参数'!$G$5:$G$9,0))-XLOOKUP(T50,'平台参数'!$A$5:$A$9,'平台参数'!$I$5:$I$9,0))/1.18)</x:f>
        <x:v>0</x:v>
      </x:c>
      <x:c r="AF50" s="273" t="str">
        <x:f>IF(A50="","",IFERROR(MAX(_xlfn._xlws.FILTER('实时行情'!$H$5:$H$124,'实时行情'!$A$5:$A$124=A50)),TODAY()))</x:f>
      </x:c>
      <x:c r="AG50" s="274"/>
    </x:row>
    <x:row r="51">
      <x:c r="A51" s="268"/>
      <x:c r="B51" s="269"/>
      <x:c r="C51" s="269"/>
      <x:c r="D51" s="269"/>
      <x:c r="E51" s="269"/>
      <x:c r="F51" s="269"/>
      <x:c r="G51" s="270" t="n">
        <x:f>SUMIFS('实时行情'!$D$5:$D$124,'实时行情'!$A$5:$A$124,$A51,'实时行情'!$C$5:$C$124,"eBay")</x:f>
        <x:v>0</x:v>
      </x:c>
      <x:c r="H51" s="270" t="n">
        <x:f>SUMIFS('实时行情'!$D$5:$D$124,'实时行情'!$A$5:$A$124,$A51,'实时行情'!$C$5:$C$124,"ALT")</x:f>
        <x:v>0</x:v>
      </x:c>
      <x:c r="I51" s="270" t="n">
        <x:f>SUMIFS('实时行情'!$D$5:$D$124,'实时行情'!$A$5:$A$124,$A51,'实时行情'!$C$5:$C$124,"Card Hobby")</x:f>
        <x:v>0</x:v>
      </x:c>
      <x:c r="J51" s="270" t="n">
        <x:f>SUMIFS('实时行情'!$D$5:$D$124,'实时行情'!$A$5:$A$124,$A51,'实时行情'!$C$5:$C$124,"Fanatics Collect")</x:f>
        <x:v>0</x:v>
      </x:c>
      <x:c r="K51" s="270" t="n">
        <x:f>SUMIFS('实时行情'!$D$5:$D$124,'实时行情'!$A$5:$A$124,$A51,'实时行情'!$C$5:$C$124,"PokerColor")</x:f>
        <x:v>0</x:v>
      </x:c>
      <x:c r="L51" s="270" t="n">
        <x:f>SUMIFS('实时行情'!$E$5:$E$124,'实时行情'!$A$5:$A$124,$A51,'实时行情'!$C$5:$C$124,"eBay")</x:f>
        <x:v>0</x:v>
      </x:c>
      <x:c r="M51" s="270" t="n">
        <x:f>SUMIFS('实时行情'!$E$5:$E$124,'实时行情'!$A$5:$A$124,$A51,'实时行情'!$C$5:$C$124,"ALT")</x:f>
        <x:v>0</x:v>
      </x:c>
      <x:c r="N51" s="270" t="n">
        <x:f>SUMIFS('实时行情'!$E$5:$E$124,'实时行情'!$A$5:$A$124,$A51,'实时行情'!$C$5:$C$124,"Card Hobby")</x:f>
        <x:v>0</x:v>
      </x:c>
      <x:c r="O51" s="270" t="n">
        <x:f>SUMIFS('实时行情'!$E$5:$E$124,'实时行情'!$A$5:$A$124,$A51,'实时行情'!$C$5:$C$124,"Fanatics Collect")</x:f>
        <x:v>0</x:v>
      </x:c>
      <x:c r="P51" s="270" t="n">
        <x:f>SUMIFS('实时行情'!$E$5:$E$124,'实时行情'!$A$5:$A$124,$A51,'实时行情'!$C$5:$C$124,"PokerColor")</x:f>
        <x:v>0</x:v>
      </x:c>
      <x:c r="Q51" s="270" t="n">
        <x:f>IFERROR(MIN(_xlfn._xlws.FILTER(G51:K51,G51:K51&gt;0)),0)</x:f>
        <x:v>0</x:v>
      </x:c>
      <x:c r="R51" s="270" t="str">
        <x:f>IF(Q51=0,"",SUBSTITUTE(SUBSTITUTE(INDEX($G$4:$K$4,1,MATCH(Q51,G51:K51,0)),"买价",""),"Fanatics","Fanatics Collect"))</x:f>
      </x:c>
      <x:c r="S51" s="270" t="n">
        <x:f>IFERROR(MAX(_xlfn._xlws.FILTER(L51:P51,L51:P51&gt;0)),0)</x:f>
        <x:v>0</x:v>
      </x:c>
      <x:c r="T51" s="270" t="str">
        <x:f>IF(S51=0,"",SUBSTITUTE(SUBSTITUTE(INDEX($L$4:$P$4,1,MATCH(S51,L51:P51,0)),"卖价",""),"Fanatics","Fanatics Collect"))</x:f>
      </x:c>
      <x:c r="U51" s="270" t="n">
        <x:f>IF(Q51=0,0,Q51*(1+XLOOKUP(R51,'平台参数'!$A$5:$A$9,'平台参数'!$E$5:$E$9,0)+XLOOKUP(R51,'平台参数'!$A$5:$A$9,'平台参数'!$G$5:$G$9,0))+XLOOKUP(R51,'平台参数'!$A$5:$A$9,'平台参数'!$H$5:$H$9,0))</x:f>
        <x:v>0</x:v>
      </x:c>
      <x:c r="V51" s="270" t="n">
        <x:f>IF(S51=0,0,S51*(1-XLOOKUP(T51,'平台参数'!$A$5:$A$9,'平台参数'!$F$5:$F$9,0)-XLOOKUP(T51,'平台参数'!$A$5:$A$9,'平台参数'!$G$5:$G$9,0))-XLOOKUP(T51,'平台参数'!$A$5:$A$9,'平台参数'!$I$5:$I$9,0))</x:f>
        <x:v>0</x:v>
      </x:c>
      <x:c r="W51" s="270" t="n">
        <x:f>V51-U51</x:f>
        <x:v>0</x:v>
      </x:c>
      <x:c r="X51" s="271" t="n">
        <x:f>IFERROR(W51/U51,0)</x:f>
        <x:v>0</x:v>
      </x:c>
      <x:c r="Y51" s="271" t="n">
        <x:f>IFERROR((S51-Q51)/Q51,0)</x:f>
        <x:v>0</x:v>
      </x:c>
      <x:c r="Z51" s="272"/>
      <x:c r="AA51" s="272"/>
      <x:c r="AB51" s="272"/>
      <x:c r="AC51" s="272" t="str">
        <x:f>IF(A51="","",ROUND((Z51+AA51)*10+X51*100-AB51*8,1))</x:f>
      </x:c>
      <x:c r="AD51" s="269"/>
      <x:c r="AE51" s="270" t="n">
        <x:f>IF(T51="",0,(S51*(1-XLOOKUP(T51,'平台参数'!$A$5:$A$9,'平台参数'!$F$5:$F$9,0)-XLOOKUP(T51,'平台参数'!$A$5:$A$9,'平台参数'!$G$5:$G$9,0))-XLOOKUP(T51,'平台参数'!$A$5:$A$9,'平台参数'!$I$5:$I$9,0))/1.18)</x:f>
        <x:v>0</x:v>
      </x:c>
      <x:c r="AF51" s="273" t="str">
        <x:f>IF(A51="","",IFERROR(MAX(_xlfn._xlws.FILTER('实时行情'!$H$5:$H$124,'实时行情'!$A$5:$A$124=A51)),TODAY()))</x:f>
      </x:c>
      <x:c r="AG51" s="274"/>
    </x:row>
    <x:row r="52">
      <x:c r="A52" s="268"/>
      <x:c r="B52" s="269"/>
      <x:c r="C52" s="269"/>
      <x:c r="D52" s="269"/>
      <x:c r="E52" s="269"/>
      <x:c r="F52" s="269"/>
      <x:c r="G52" s="270" t="n">
        <x:f>SUMIFS('实时行情'!$D$5:$D$124,'实时行情'!$A$5:$A$124,$A52,'实时行情'!$C$5:$C$124,"eBay")</x:f>
        <x:v>0</x:v>
      </x:c>
      <x:c r="H52" s="270" t="n">
        <x:f>SUMIFS('实时行情'!$D$5:$D$124,'实时行情'!$A$5:$A$124,$A52,'实时行情'!$C$5:$C$124,"ALT")</x:f>
        <x:v>0</x:v>
      </x:c>
      <x:c r="I52" s="270" t="n">
        <x:f>SUMIFS('实时行情'!$D$5:$D$124,'实时行情'!$A$5:$A$124,$A52,'实时行情'!$C$5:$C$124,"Card Hobby")</x:f>
        <x:v>0</x:v>
      </x:c>
      <x:c r="J52" s="270" t="n">
        <x:f>SUMIFS('实时行情'!$D$5:$D$124,'实时行情'!$A$5:$A$124,$A52,'实时行情'!$C$5:$C$124,"Fanatics Collect")</x:f>
        <x:v>0</x:v>
      </x:c>
      <x:c r="K52" s="270" t="n">
        <x:f>SUMIFS('实时行情'!$D$5:$D$124,'实时行情'!$A$5:$A$124,$A52,'实时行情'!$C$5:$C$124,"PokerColor")</x:f>
        <x:v>0</x:v>
      </x:c>
      <x:c r="L52" s="270" t="n">
        <x:f>SUMIFS('实时行情'!$E$5:$E$124,'实时行情'!$A$5:$A$124,$A52,'实时行情'!$C$5:$C$124,"eBay")</x:f>
        <x:v>0</x:v>
      </x:c>
      <x:c r="M52" s="270" t="n">
        <x:f>SUMIFS('实时行情'!$E$5:$E$124,'实时行情'!$A$5:$A$124,$A52,'实时行情'!$C$5:$C$124,"ALT")</x:f>
        <x:v>0</x:v>
      </x:c>
      <x:c r="N52" s="270" t="n">
        <x:f>SUMIFS('实时行情'!$E$5:$E$124,'实时行情'!$A$5:$A$124,$A52,'实时行情'!$C$5:$C$124,"Card Hobby")</x:f>
        <x:v>0</x:v>
      </x:c>
      <x:c r="O52" s="270" t="n">
        <x:f>SUMIFS('实时行情'!$E$5:$E$124,'实时行情'!$A$5:$A$124,$A52,'实时行情'!$C$5:$C$124,"Fanatics Collect")</x:f>
        <x:v>0</x:v>
      </x:c>
      <x:c r="P52" s="270" t="n">
        <x:f>SUMIFS('实时行情'!$E$5:$E$124,'实时行情'!$A$5:$A$124,$A52,'实时行情'!$C$5:$C$124,"PokerColor")</x:f>
        <x:v>0</x:v>
      </x:c>
      <x:c r="Q52" s="270" t="n">
        <x:f>IFERROR(MIN(_xlfn._xlws.FILTER(G52:K52,G52:K52&gt;0)),0)</x:f>
        <x:v>0</x:v>
      </x:c>
      <x:c r="R52" s="270" t="str">
        <x:f>IF(Q52=0,"",SUBSTITUTE(SUBSTITUTE(INDEX($G$4:$K$4,1,MATCH(Q52,G52:K52,0)),"买价",""),"Fanatics","Fanatics Collect"))</x:f>
      </x:c>
      <x:c r="S52" s="270" t="n">
        <x:f>IFERROR(MAX(_xlfn._xlws.FILTER(L52:P52,L52:P52&gt;0)),0)</x:f>
        <x:v>0</x:v>
      </x:c>
      <x:c r="T52" s="270" t="str">
        <x:f>IF(S52=0,"",SUBSTITUTE(SUBSTITUTE(INDEX($L$4:$P$4,1,MATCH(S52,L52:P52,0)),"卖价",""),"Fanatics","Fanatics Collect"))</x:f>
      </x:c>
      <x:c r="U52" s="270" t="n">
        <x:f>IF(Q52=0,0,Q52*(1+XLOOKUP(R52,'平台参数'!$A$5:$A$9,'平台参数'!$E$5:$E$9,0)+XLOOKUP(R52,'平台参数'!$A$5:$A$9,'平台参数'!$G$5:$G$9,0))+XLOOKUP(R52,'平台参数'!$A$5:$A$9,'平台参数'!$H$5:$H$9,0))</x:f>
        <x:v>0</x:v>
      </x:c>
      <x:c r="V52" s="270" t="n">
        <x:f>IF(S52=0,0,S52*(1-XLOOKUP(T52,'平台参数'!$A$5:$A$9,'平台参数'!$F$5:$F$9,0)-XLOOKUP(T52,'平台参数'!$A$5:$A$9,'平台参数'!$G$5:$G$9,0))-XLOOKUP(T52,'平台参数'!$A$5:$A$9,'平台参数'!$I$5:$I$9,0))</x:f>
        <x:v>0</x:v>
      </x:c>
      <x:c r="W52" s="270" t="n">
        <x:f>V52-U52</x:f>
        <x:v>0</x:v>
      </x:c>
      <x:c r="X52" s="271" t="n">
        <x:f>IFERROR(W52/U52,0)</x:f>
        <x:v>0</x:v>
      </x:c>
      <x:c r="Y52" s="271" t="n">
        <x:f>IFERROR((S52-Q52)/Q52,0)</x:f>
        <x:v>0</x:v>
      </x:c>
      <x:c r="Z52" s="272"/>
      <x:c r="AA52" s="272"/>
      <x:c r="AB52" s="272"/>
      <x:c r="AC52" s="272" t="str">
        <x:f>IF(A52="","",ROUND((Z52+AA52)*10+X52*100-AB52*8,1))</x:f>
      </x:c>
      <x:c r="AD52" s="269"/>
      <x:c r="AE52" s="270" t="n">
        <x:f>IF(T52="",0,(S52*(1-XLOOKUP(T52,'平台参数'!$A$5:$A$9,'平台参数'!$F$5:$F$9,0)-XLOOKUP(T52,'平台参数'!$A$5:$A$9,'平台参数'!$G$5:$G$9,0))-XLOOKUP(T52,'平台参数'!$A$5:$A$9,'平台参数'!$I$5:$I$9,0))/1.18)</x:f>
        <x:v>0</x:v>
      </x:c>
      <x:c r="AF52" s="273" t="str">
        <x:f>IF(A52="","",IFERROR(MAX(_xlfn._xlws.FILTER('实时行情'!$H$5:$H$124,'实时行情'!$A$5:$A$124=A52)),TODAY()))</x:f>
      </x:c>
      <x:c r="AG52" s="274"/>
    </x:row>
    <x:row r="53">
      <x:c r="A53" s="268"/>
      <x:c r="B53" s="269"/>
      <x:c r="C53" s="269"/>
      <x:c r="D53" s="269"/>
      <x:c r="E53" s="269"/>
      <x:c r="F53" s="269"/>
      <x:c r="G53" s="270" t="n">
        <x:f>SUMIFS('实时行情'!$D$5:$D$124,'实时行情'!$A$5:$A$124,$A53,'实时行情'!$C$5:$C$124,"eBay")</x:f>
        <x:v>0</x:v>
      </x:c>
      <x:c r="H53" s="270" t="n">
        <x:f>SUMIFS('实时行情'!$D$5:$D$124,'实时行情'!$A$5:$A$124,$A53,'实时行情'!$C$5:$C$124,"ALT")</x:f>
        <x:v>0</x:v>
      </x:c>
      <x:c r="I53" s="270" t="n">
        <x:f>SUMIFS('实时行情'!$D$5:$D$124,'实时行情'!$A$5:$A$124,$A53,'实时行情'!$C$5:$C$124,"Card Hobby")</x:f>
        <x:v>0</x:v>
      </x:c>
      <x:c r="J53" s="270" t="n">
        <x:f>SUMIFS('实时行情'!$D$5:$D$124,'实时行情'!$A$5:$A$124,$A53,'实时行情'!$C$5:$C$124,"Fanatics Collect")</x:f>
        <x:v>0</x:v>
      </x:c>
      <x:c r="K53" s="270" t="n">
        <x:f>SUMIFS('实时行情'!$D$5:$D$124,'实时行情'!$A$5:$A$124,$A53,'实时行情'!$C$5:$C$124,"PokerColor")</x:f>
        <x:v>0</x:v>
      </x:c>
      <x:c r="L53" s="270" t="n">
        <x:f>SUMIFS('实时行情'!$E$5:$E$124,'实时行情'!$A$5:$A$124,$A53,'实时行情'!$C$5:$C$124,"eBay")</x:f>
        <x:v>0</x:v>
      </x:c>
      <x:c r="M53" s="270" t="n">
        <x:f>SUMIFS('实时行情'!$E$5:$E$124,'实时行情'!$A$5:$A$124,$A53,'实时行情'!$C$5:$C$124,"ALT")</x:f>
        <x:v>0</x:v>
      </x:c>
      <x:c r="N53" s="270" t="n">
        <x:f>SUMIFS('实时行情'!$E$5:$E$124,'实时行情'!$A$5:$A$124,$A53,'实时行情'!$C$5:$C$124,"Card Hobby")</x:f>
        <x:v>0</x:v>
      </x:c>
      <x:c r="O53" s="270" t="n">
        <x:f>SUMIFS('实时行情'!$E$5:$E$124,'实时行情'!$A$5:$A$124,$A53,'实时行情'!$C$5:$C$124,"Fanatics Collect")</x:f>
        <x:v>0</x:v>
      </x:c>
      <x:c r="P53" s="270" t="n">
        <x:f>SUMIFS('实时行情'!$E$5:$E$124,'实时行情'!$A$5:$A$124,$A53,'实时行情'!$C$5:$C$124,"PokerColor")</x:f>
        <x:v>0</x:v>
      </x:c>
      <x:c r="Q53" s="270" t="n">
        <x:f>IFERROR(MIN(_xlfn._xlws.FILTER(G53:K53,G53:K53&gt;0)),0)</x:f>
        <x:v>0</x:v>
      </x:c>
      <x:c r="R53" s="270" t="str">
        <x:f>IF(Q53=0,"",SUBSTITUTE(SUBSTITUTE(INDEX($G$4:$K$4,1,MATCH(Q53,G53:K53,0)),"买价",""),"Fanatics","Fanatics Collect"))</x:f>
      </x:c>
      <x:c r="S53" s="270" t="n">
        <x:f>IFERROR(MAX(_xlfn._xlws.FILTER(L53:P53,L53:P53&gt;0)),0)</x:f>
        <x:v>0</x:v>
      </x:c>
      <x:c r="T53" s="270" t="str">
        <x:f>IF(S53=0,"",SUBSTITUTE(SUBSTITUTE(INDEX($L$4:$P$4,1,MATCH(S53,L53:P53,0)),"卖价",""),"Fanatics","Fanatics Collect"))</x:f>
      </x:c>
      <x:c r="U53" s="270" t="n">
        <x:f>IF(Q53=0,0,Q53*(1+XLOOKUP(R53,'平台参数'!$A$5:$A$9,'平台参数'!$E$5:$E$9,0)+XLOOKUP(R53,'平台参数'!$A$5:$A$9,'平台参数'!$G$5:$G$9,0))+XLOOKUP(R53,'平台参数'!$A$5:$A$9,'平台参数'!$H$5:$H$9,0))</x:f>
        <x:v>0</x:v>
      </x:c>
      <x:c r="V53" s="270" t="n">
        <x:f>IF(S53=0,0,S53*(1-XLOOKUP(T53,'平台参数'!$A$5:$A$9,'平台参数'!$F$5:$F$9,0)-XLOOKUP(T53,'平台参数'!$A$5:$A$9,'平台参数'!$G$5:$G$9,0))-XLOOKUP(T53,'平台参数'!$A$5:$A$9,'平台参数'!$I$5:$I$9,0))</x:f>
        <x:v>0</x:v>
      </x:c>
      <x:c r="W53" s="270" t="n">
        <x:f>V53-U53</x:f>
        <x:v>0</x:v>
      </x:c>
      <x:c r="X53" s="271" t="n">
        <x:f>IFERROR(W53/U53,0)</x:f>
        <x:v>0</x:v>
      </x:c>
      <x:c r="Y53" s="271" t="n">
        <x:f>IFERROR((S53-Q53)/Q53,0)</x:f>
        <x:v>0</x:v>
      </x:c>
      <x:c r="Z53" s="272"/>
      <x:c r="AA53" s="272"/>
      <x:c r="AB53" s="272"/>
      <x:c r="AC53" s="272" t="str">
        <x:f>IF(A53="","",ROUND((Z53+AA53)*10+X53*100-AB53*8,1))</x:f>
      </x:c>
      <x:c r="AD53" s="269"/>
      <x:c r="AE53" s="270" t="n">
        <x:f>IF(T53="",0,(S53*(1-XLOOKUP(T53,'平台参数'!$A$5:$A$9,'平台参数'!$F$5:$F$9,0)-XLOOKUP(T53,'平台参数'!$A$5:$A$9,'平台参数'!$G$5:$G$9,0))-XLOOKUP(T53,'平台参数'!$A$5:$A$9,'平台参数'!$I$5:$I$9,0))/1.18)</x:f>
        <x:v>0</x:v>
      </x:c>
      <x:c r="AF53" s="273" t="str">
        <x:f>IF(A53="","",IFERROR(MAX(_xlfn._xlws.FILTER('实时行情'!$H$5:$H$124,'实时行情'!$A$5:$A$124=A53)),TODAY()))</x:f>
      </x:c>
      <x:c r="AG53" s="274"/>
    </x:row>
    <x:row r="54">
      <x:c r="A54" s="268"/>
      <x:c r="B54" s="269"/>
      <x:c r="C54" s="269"/>
      <x:c r="D54" s="269"/>
      <x:c r="E54" s="269"/>
      <x:c r="F54" s="269"/>
      <x:c r="G54" s="270" t="n">
        <x:f>SUMIFS('实时行情'!$D$5:$D$124,'实时行情'!$A$5:$A$124,$A54,'实时行情'!$C$5:$C$124,"eBay")</x:f>
        <x:v>0</x:v>
      </x:c>
      <x:c r="H54" s="270" t="n">
        <x:f>SUMIFS('实时行情'!$D$5:$D$124,'实时行情'!$A$5:$A$124,$A54,'实时行情'!$C$5:$C$124,"ALT")</x:f>
        <x:v>0</x:v>
      </x:c>
      <x:c r="I54" s="270" t="n">
        <x:f>SUMIFS('实时行情'!$D$5:$D$124,'实时行情'!$A$5:$A$124,$A54,'实时行情'!$C$5:$C$124,"Card Hobby")</x:f>
        <x:v>0</x:v>
      </x:c>
      <x:c r="J54" s="270" t="n">
        <x:f>SUMIFS('实时行情'!$D$5:$D$124,'实时行情'!$A$5:$A$124,$A54,'实时行情'!$C$5:$C$124,"Fanatics Collect")</x:f>
        <x:v>0</x:v>
      </x:c>
      <x:c r="K54" s="270" t="n">
        <x:f>SUMIFS('实时行情'!$D$5:$D$124,'实时行情'!$A$5:$A$124,$A54,'实时行情'!$C$5:$C$124,"PokerColor")</x:f>
        <x:v>0</x:v>
      </x:c>
      <x:c r="L54" s="270" t="n">
        <x:f>SUMIFS('实时行情'!$E$5:$E$124,'实时行情'!$A$5:$A$124,$A54,'实时行情'!$C$5:$C$124,"eBay")</x:f>
        <x:v>0</x:v>
      </x:c>
      <x:c r="M54" s="270" t="n">
        <x:f>SUMIFS('实时行情'!$E$5:$E$124,'实时行情'!$A$5:$A$124,$A54,'实时行情'!$C$5:$C$124,"ALT")</x:f>
        <x:v>0</x:v>
      </x:c>
      <x:c r="N54" s="270" t="n">
        <x:f>SUMIFS('实时行情'!$E$5:$E$124,'实时行情'!$A$5:$A$124,$A54,'实时行情'!$C$5:$C$124,"Card Hobby")</x:f>
        <x:v>0</x:v>
      </x:c>
      <x:c r="O54" s="270" t="n">
        <x:f>SUMIFS('实时行情'!$E$5:$E$124,'实时行情'!$A$5:$A$124,$A54,'实时行情'!$C$5:$C$124,"Fanatics Collect")</x:f>
        <x:v>0</x:v>
      </x:c>
      <x:c r="P54" s="270" t="n">
        <x:f>SUMIFS('实时行情'!$E$5:$E$124,'实时行情'!$A$5:$A$124,$A54,'实时行情'!$C$5:$C$124,"PokerColor")</x:f>
        <x:v>0</x:v>
      </x:c>
      <x:c r="Q54" s="270" t="n">
        <x:f>IFERROR(MIN(_xlfn._xlws.FILTER(G54:K54,G54:K54&gt;0)),0)</x:f>
        <x:v>0</x:v>
      </x:c>
      <x:c r="R54" s="270" t="str">
        <x:f>IF(Q54=0,"",SUBSTITUTE(SUBSTITUTE(INDEX($G$4:$K$4,1,MATCH(Q54,G54:K54,0)),"买价",""),"Fanatics","Fanatics Collect"))</x:f>
      </x:c>
      <x:c r="S54" s="270" t="n">
        <x:f>IFERROR(MAX(_xlfn._xlws.FILTER(L54:P54,L54:P54&gt;0)),0)</x:f>
        <x:v>0</x:v>
      </x:c>
      <x:c r="T54" s="270" t="str">
        <x:f>IF(S54=0,"",SUBSTITUTE(SUBSTITUTE(INDEX($L$4:$P$4,1,MATCH(S54,L54:P54,0)),"卖价",""),"Fanatics","Fanatics Collect"))</x:f>
      </x:c>
      <x:c r="U54" s="270" t="n">
        <x:f>IF(Q54=0,0,Q54*(1+XLOOKUP(R54,'平台参数'!$A$5:$A$9,'平台参数'!$E$5:$E$9,0)+XLOOKUP(R54,'平台参数'!$A$5:$A$9,'平台参数'!$G$5:$G$9,0))+XLOOKUP(R54,'平台参数'!$A$5:$A$9,'平台参数'!$H$5:$H$9,0))</x:f>
        <x:v>0</x:v>
      </x:c>
      <x:c r="V54" s="270" t="n">
        <x:f>IF(S54=0,0,S54*(1-XLOOKUP(T54,'平台参数'!$A$5:$A$9,'平台参数'!$F$5:$F$9,0)-XLOOKUP(T54,'平台参数'!$A$5:$A$9,'平台参数'!$G$5:$G$9,0))-XLOOKUP(T54,'平台参数'!$A$5:$A$9,'平台参数'!$I$5:$I$9,0))</x:f>
        <x:v>0</x:v>
      </x:c>
      <x:c r="W54" s="270" t="n">
        <x:f>V54-U54</x:f>
        <x:v>0</x:v>
      </x:c>
      <x:c r="X54" s="271" t="n">
        <x:f>IFERROR(W54/U54,0)</x:f>
        <x:v>0</x:v>
      </x:c>
      <x:c r="Y54" s="271" t="n">
        <x:f>IFERROR((S54-Q54)/Q54,0)</x:f>
        <x:v>0</x:v>
      </x:c>
      <x:c r="Z54" s="272"/>
      <x:c r="AA54" s="272"/>
      <x:c r="AB54" s="272"/>
      <x:c r="AC54" s="272" t="str">
        <x:f>IF(A54="","",ROUND((Z54+AA54)*10+X54*100-AB54*8,1))</x:f>
      </x:c>
      <x:c r="AD54" s="269"/>
      <x:c r="AE54" s="270" t="n">
        <x:f>IF(T54="",0,(S54*(1-XLOOKUP(T54,'平台参数'!$A$5:$A$9,'平台参数'!$F$5:$F$9,0)-XLOOKUP(T54,'平台参数'!$A$5:$A$9,'平台参数'!$G$5:$G$9,0))-XLOOKUP(T54,'平台参数'!$A$5:$A$9,'平台参数'!$I$5:$I$9,0))/1.18)</x:f>
        <x:v>0</x:v>
      </x:c>
      <x:c r="AF54" s="273" t="str">
        <x:f>IF(A54="","",IFERROR(MAX(_xlfn._xlws.FILTER('实时行情'!$H$5:$H$124,'实时行情'!$A$5:$A$124=A54)),TODAY()))</x:f>
      </x:c>
      <x:c r="AG54" s="274"/>
    </x:row>
    <x:row r="55">
      <x:c r="A55" s="268"/>
      <x:c r="B55" s="269"/>
      <x:c r="C55" s="269"/>
      <x:c r="D55" s="269"/>
      <x:c r="E55" s="269"/>
      <x:c r="F55" s="269"/>
      <x:c r="G55" s="270" t="n">
        <x:f>SUMIFS('实时行情'!$D$5:$D$124,'实时行情'!$A$5:$A$124,$A55,'实时行情'!$C$5:$C$124,"eBay")</x:f>
        <x:v>0</x:v>
      </x:c>
      <x:c r="H55" s="270" t="n">
        <x:f>SUMIFS('实时行情'!$D$5:$D$124,'实时行情'!$A$5:$A$124,$A55,'实时行情'!$C$5:$C$124,"ALT")</x:f>
        <x:v>0</x:v>
      </x:c>
      <x:c r="I55" s="270" t="n">
        <x:f>SUMIFS('实时行情'!$D$5:$D$124,'实时行情'!$A$5:$A$124,$A55,'实时行情'!$C$5:$C$124,"Card Hobby")</x:f>
        <x:v>0</x:v>
      </x:c>
      <x:c r="J55" s="270" t="n">
        <x:f>SUMIFS('实时行情'!$D$5:$D$124,'实时行情'!$A$5:$A$124,$A55,'实时行情'!$C$5:$C$124,"Fanatics Collect")</x:f>
        <x:v>0</x:v>
      </x:c>
      <x:c r="K55" s="270" t="n">
        <x:f>SUMIFS('实时行情'!$D$5:$D$124,'实时行情'!$A$5:$A$124,$A55,'实时行情'!$C$5:$C$124,"PokerColor")</x:f>
        <x:v>0</x:v>
      </x:c>
      <x:c r="L55" s="270" t="n">
        <x:f>SUMIFS('实时行情'!$E$5:$E$124,'实时行情'!$A$5:$A$124,$A55,'实时行情'!$C$5:$C$124,"eBay")</x:f>
        <x:v>0</x:v>
      </x:c>
      <x:c r="M55" s="270" t="n">
        <x:f>SUMIFS('实时行情'!$E$5:$E$124,'实时行情'!$A$5:$A$124,$A55,'实时行情'!$C$5:$C$124,"ALT")</x:f>
        <x:v>0</x:v>
      </x:c>
      <x:c r="N55" s="270" t="n">
        <x:f>SUMIFS('实时行情'!$E$5:$E$124,'实时行情'!$A$5:$A$124,$A55,'实时行情'!$C$5:$C$124,"Card Hobby")</x:f>
        <x:v>0</x:v>
      </x:c>
      <x:c r="O55" s="270" t="n">
        <x:f>SUMIFS('实时行情'!$E$5:$E$124,'实时行情'!$A$5:$A$124,$A55,'实时行情'!$C$5:$C$124,"Fanatics Collect")</x:f>
        <x:v>0</x:v>
      </x:c>
      <x:c r="P55" s="270" t="n">
        <x:f>SUMIFS('实时行情'!$E$5:$E$124,'实时行情'!$A$5:$A$124,$A55,'实时行情'!$C$5:$C$124,"PokerColor")</x:f>
        <x:v>0</x:v>
      </x:c>
      <x:c r="Q55" s="270" t="n">
        <x:f>IFERROR(MIN(_xlfn._xlws.FILTER(G55:K55,G55:K55&gt;0)),0)</x:f>
        <x:v>0</x:v>
      </x:c>
      <x:c r="R55" s="270" t="str">
        <x:f>IF(Q55=0,"",SUBSTITUTE(SUBSTITUTE(INDEX($G$4:$K$4,1,MATCH(Q55,G55:K55,0)),"买价",""),"Fanatics","Fanatics Collect"))</x:f>
      </x:c>
      <x:c r="S55" s="270" t="n">
        <x:f>IFERROR(MAX(_xlfn._xlws.FILTER(L55:P55,L55:P55&gt;0)),0)</x:f>
        <x:v>0</x:v>
      </x:c>
      <x:c r="T55" s="270" t="str">
        <x:f>IF(S55=0,"",SUBSTITUTE(SUBSTITUTE(INDEX($L$4:$P$4,1,MATCH(S55,L55:P55,0)),"卖价",""),"Fanatics","Fanatics Collect"))</x:f>
      </x:c>
      <x:c r="U55" s="270" t="n">
        <x:f>IF(Q55=0,0,Q55*(1+XLOOKUP(R55,'平台参数'!$A$5:$A$9,'平台参数'!$E$5:$E$9,0)+XLOOKUP(R55,'平台参数'!$A$5:$A$9,'平台参数'!$G$5:$G$9,0))+XLOOKUP(R55,'平台参数'!$A$5:$A$9,'平台参数'!$H$5:$H$9,0))</x:f>
        <x:v>0</x:v>
      </x:c>
      <x:c r="V55" s="270" t="n">
        <x:f>IF(S55=0,0,S55*(1-XLOOKUP(T55,'平台参数'!$A$5:$A$9,'平台参数'!$F$5:$F$9,0)-XLOOKUP(T55,'平台参数'!$A$5:$A$9,'平台参数'!$G$5:$G$9,0))-XLOOKUP(T55,'平台参数'!$A$5:$A$9,'平台参数'!$I$5:$I$9,0))</x:f>
        <x:v>0</x:v>
      </x:c>
      <x:c r="W55" s="270" t="n">
        <x:f>V55-U55</x:f>
        <x:v>0</x:v>
      </x:c>
      <x:c r="X55" s="271" t="n">
        <x:f>IFERROR(W55/U55,0)</x:f>
        <x:v>0</x:v>
      </x:c>
      <x:c r="Y55" s="271" t="n">
        <x:f>IFERROR((S55-Q55)/Q55,0)</x:f>
        <x:v>0</x:v>
      </x:c>
      <x:c r="Z55" s="272"/>
      <x:c r="AA55" s="272"/>
      <x:c r="AB55" s="272"/>
      <x:c r="AC55" s="272" t="str">
        <x:f>IF(A55="","",ROUND((Z55+AA55)*10+X55*100-AB55*8,1))</x:f>
      </x:c>
      <x:c r="AD55" s="269"/>
      <x:c r="AE55" s="270" t="n">
        <x:f>IF(T55="",0,(S55*(1-XLOOKUP(T55,'平台参数'!$A$5:$A$9,'平台参数'!$F$5:$F$9,0)-XLOOKUP(T55,'平台参数'!$A$5:$A$9,'平台参数'!$G$5:$G$9,0))-XLOOKUP(T55,'平台参数'!$A$5:$A$9,'平台参数'!$I$5:$I$9,0))/1.18)</x:f>
        <x:v>0</x:v>
      </x:c>
      <x:c r="AF55" s="273" t="str">
        <x:f>IF(A55="","",IFERROR(MAX(_xlfn._xlws.FILTER('实时行情'!$H$5:$H$124,'实时行情'!$A$5:$A$124=A55)),TODAY()))</x:f>
      </x:c>
      <x:c r="AG55" s="274"/>
    </x:row>
    <x:row r="56">
      <x:c r="A56" s="268"/>
      <x:c r="B56" s="269"/>
      <x:c r="C56" s="269"/>
      <x:c r="D56" s="269"/>
      <x:c r="E56" s="269"/>
      <x:c r="F56" s="269"/>
      <x:c r="G56" s="270" t="n">
        <x:f>SUMIFS('实时行情'!$D$5:$D$124,'实时行情'!$A$5:$A$124,$A56,'实时行情'!$C$5:$C$124,"eBay")</x:f>
        <x:v>0</x:v>
      </x:c>
      <x:c r="H56" s="270" t="n">
        <x:f>SUMIFS('实时行情'!$D$5:$D$124,'实时行情'!$A$5:$A$124,$A56,'实时行情'!$C$5:$C$124,"ALT")</x:f>
        <x:v>0</x:v>
      </x:c>
      <x:c r="I56" s="270" t="n">
        <x:f>SUMIFS('实时行情'!$D$5:$D$124,'实时行情'!$A$5:$A$124,$A56,'实时行情'!$C$5:$C$124,"Card Hobby")</x:f>
        <x:v>0</x:v>
      </x:c>
      <x:c r="J56" s="270" t="n">
        <x:f>SUMIFS('实时行情'!$D$5:$D$124,'实时行情'!$A$5:$A$124,$A56,'实时行情'!$C$5:$C$124,"Fanatics Collect")</x:f>
        <x:v>0</x:v>
      </x:c>
      <x:c r="K56" s="270" t="n">
        <x:f>SUMIFS('实时行情'!$D$5:$D$124,'实时行情'!$A$5:$A$124,$A56,'实时行情'!$C$5:$C$124,"PokerColor")</x:f>
        <x:v>0</x:v>
      </x:c>
      <x:c r="L56" s="270" t="n">
        <x:f>SUMIFS('实时行情'!$E$5:$E$124,'实时行情'!$A$5:$A$124,$A56,'实时行情'!$C$5:$C$124,"eBay")</x:f>
        <x:v>0</x:v>
      </x:c>
      <x:c r="M56" s="270" t="n">
        <x:f>SUMIFS('实时行情'!$E$5:$E$124,'实时行情'!$A$5:$A$124,$A56,'实时行情'!$C$5:$C$124,"ALT")</x:f>
        <x:v>0</x:v>
      </x:c>
      <x:c r="N56" s="270" t="n">
        <x:f>SUMIFS('实时行情'!$E$5:$E$124,'实时行情'!$A$5:$A$124,$A56,'实时行情'!$C$5:$C$124,"Card Hobby")</x:f>
        <x:v>0</x:v>
      </x:c>
      <x:c r="O56" s="270" t="n">
        <x:f>SUMIFS('实时行情'!$E$5:$E$124,'实时行情'!$A$5:$A$124,$A56,'实时行情'!$C$5:$C$124,"Fanatics Collect")</x:f>
        <x:v>0</x:v>
      </x:c>
      <x:c r="P56" s="270" t="n">
        <x:f>SUMIFS('实时行情'!$E$5:$E$124,'实时行情'!$A$5:$A$124,$A56,'实时行情'!$C$5:$C$124,"PokerColor")</x:f>
        <x:v>0</x:v>
      </x:c>
      <x:c r="Q56" s="270" t="n">
        <x:f>IFERROR(MIN(_xlfn._xlws.FILTER(G56:K56,G56:K56&gt;0)),0)</x:f>
        <x:v>0</x:v>
      </x:c>
      <x:c r="R56" s="270" t="str">
        <x:f>IF(Q56=0,"",SUBSTITUTE(SUBSTITUTE(INDEX($G$4:$K$4,1,MATCH(Q56,G56:K56,0)),"买价",""),"Fanatics","Fanatics Collect"))</x:f>
      </x:c>
      <x:c r="S56" s="270" t="n">
        <x:f>IFERROR(MAX(_xlfn._xlws.FILTER(L56:P56,L56:P56&gt;0)),0)</x:f>
        <x:v>0</x:v>
      </x:c>
      <x:c r="T56" s="270" t="str">
        <x:f>IF(S56=0,"",SUBSTITUTE(SUBSTITUTE(INDEX($L$4:$P$4,1,MATCH(S56,L56:P56,0)),"卖价",""),"Fanatics","Fanatics Collect"))</x:f>
      </x:c>
      <x:c r="U56" s="270" t="n">
        <x:f>IF(Q56=0,0,Q56*(1+XLOOKUP(R56,'平台参数'!$A$5:$A$9,'平台参数'!$E$5:$E$9,0)+XLOOKUP(R56,'平台参数'!$A$5:$A$9,'平台参数'!$G$5:$G$9,0))+XLOOKUP(R56,'平台参数'!$A$5:$A$9,'平台参数'!$H$5:$H$9,0))</x:f>
        <x:v>0</x:v>
      </x:c>
      <x:c r="V56" s="270" t="n">
        <x:f>IF(S56=0,0,S56*(1-XLOOKUP(T56,'平台参数'!$A$5:$A$9,'平台参数'!$F$5:$F$9,0)-XLOOKUP(T56,'平台参数'!$A$5:$A$9,'平台参数'!$G$5:$G$9,0))-XLOOKUP(T56,'平台参数'!$A$5:$A$9,'平台参数'!$I$5:$I$9,0))</x:f>
        <x:v>0</x:v>
      </x:c>
      <x:c r="W56" s="270" t="n">
        <x:f>V56-U56</x:f>
        <x:v>0</x:v>
      </x:c>
      <x:c r="X56" s="271" t="n">
        <x:f>IFERROR(W56/U56,0)</x:f>
        <x:v>0</x:v>
      </x:c>
      <x:c r="Y56" s="271" t="n">
        <x:f>IFERROR((S56-Q56)/Q56,0)</x:f>
        <x:v>0</x:v>
      </x:c>
      <x:c r="Z56" s="272"/>
      <x:c r="AA56" s="272"/>
      <x:c r="AB56" s="272"/>
      <x:c r="AC56" s="272" t="str">
        <x:f>IF(A56="","",ROUND((Z56+AA56)*10+X56*100-AB56*8,1))</x:f>
      </x:c>
      <x:c r="AD56" s="269"/>
      <x:c r="AE56" s="270" t="n">
        <x:f>IF(T56="",0,(S56*(1-XLOOKUP(T56,'平台参数'!$A$5:$A$9,'平台参数'!$F$5:$F$9,0)-XLOOKUP(T56,'平台参数'!$A$5:$A$9,'平台参数'!$G$5:$G$9,0))-XLOOKUP(T56,'平台参数'!$A$5:$A$9,'平台参数'!$I$5:$I$9,0))/1.18)</x:f>
        <x:v>0</x:v>
      </x:c>
      <x:c r="AF56" s="273" t="str">
        <x:f>IF(A56="","",IFERROR(MAX(_xlfn._xlws.FILTER('实时行情'!$H$5:$H$124,'实时行情'!$A$5:$A$124=A56)),TODAY()))</x:f>
      </x:c>
      <x:c r="AG56" s="274"/>
    </x:row>
    <x:row r="57">
      <x:c r="A57" s="268"/>
      <x:c r="B57" s="269"/>
      <x:c r="C57" s="269"/>
      <x:c r="D57" s="269"/>
      <x:c r="E57" s="269"/>
      <x:c r="F57" s="269"/>
      <x:c r="G57" s="270" t="n">
        <x:f>SUMIFS('实时行情'!$D$5:$D$124,'实时行情'!$A$5:$A$124,$A57,'实时行情'!$C$5:$C$124,"eBay")</x:f>
        <x:v>0</x:v>
      </x:c>
      <x:c r="H57" s="270" t="n">
        <x:f>SUMIFS('实时行情'!$D$5:$D$124,'实时行情'!$A$5:$A$124,$A57,'实时行情'!$C$5:$C$124,"ALT")</x:f>
        <x:v>0</x:v>
      </x:c>
      <x:c r="I57" s="270" t="n">
        <x:f>SUMIFS('实时行情'!$D$5:$D$124,'实时行情'!$A$5:$A$124,$A57,'实时行情'!$C$5:$C$124,"Card Hobby")</x:f>
        <x:v>0</x:v>
      </x:c>
      <x:c r="J57" s="270" t="n">
        <x:f>SUMIFS('实时行情'!$D$5:$D$124,'实时行情'!$A$5:$A$124,$A57,'实时行情'!$C$5:$C$124,"Fanatics Collect")</x:f>
        <x:v>0</x:v>
      </x:c>
      <x:c r="K57" s="270" t="n">
        <x:f>SUMIFS('实时行情'!$D$5:$D$124,'实时行情'!$A$5:$A$124,$A57,'实时行情'!$C$5:$C$124,"PokerColor")</x:f>
        <x:v>0</x:v>
      </x:c>
      <x:c r="L57" s="270" t="n">
        <x:f>SUMIFS('实时行情'!$E$5:$E$124,'实时行情'!$A$5:$A$124,$A57,'实时行情'!$C$5:$C$124,"eBay")</x:f>
        <x:v>0</x:v>
      </x:c>
      <x:c r="M57" s="270" t="n">
        <x:f>SUMIFS('实时行情'!$E$5:$E$124,'实时行情'!$A$5:$A$124,$A57,'实时行情'!$C$5:$C$124,"ALT")</x:f>
        <x:v>0</x:v>
      </x:c>
      <x:c r="N57" s="270" t="n">
        <x:f>SUMIFS('实时行情'!$E$5:$E$124,'实时行情'!$A$5:$A$124,$A57,'实时行情'!$C$5:$C$124,"Card Hobby")</x:f>
        <x:v>0</x:v>
      </x:c>
      <x:c r="O57" s="270" t="n">
        <x:f>SUMIFS('实时行情'!$E$5:$E$124,'实时行情'!$A$5:$A$124,$A57,'实时行情'!$C$5:$C$124,"Fanatics Collect")</x:f>
        <x:v>0</x:v>
      </x:c>
      <x:c r="P57" s="270" t="n">
        <x:f>SUMIFS('实时行情'!$E$5:$E$124,'实时行情'!$A$5:$A$124,$A57,'实时行情'!$C$5:$C$124,"PokerColor")</x:f>
        <x:v>0</x:v>
      </x:c>
      <x:c r="Q57" s="270" t="n">
        <x:f>IFERROR(MIN(_xlfn._xlws.FILTER(G57:K57,G57:K57&gt;0)),0)</x:f>
        <x:v>0</x:v>
      </x:c>
      <x:c r="R57" s="270" t="str">
        <x:f>IF(Q57=0,"",SUBSTITUTE(SUBSTITUTE(INDEX($G$4:$K$4,1,MATCH(Q57,G57:K57,0)),"买价",""),"Fanatics","Fanatics Collect"))</x:f>
      </x:c>
      <x:c r="S57" s="270" t="n">
        <x:f>IFERROR(MAX(_xlfn._xlws.FILTER(L57:P57,L57:P57&gt;0)),0)</x:f>
        <x:v>0</x:v>
      </x:c>
      <x:c r="T57" s="270" t="str">
        <x:f>IF(S57=0,"",SUBSTITUTE(SUBSTITUTE(INDEX($L$4:$P$4,1,MATCH(S57,L57:P57,0)),"卖价",""),"Fanatics","Fanatics Collect"))</x:f>
      </x:c>
      <x:c r="U57" s="270" t="n">
        <x:f>IF(Q57=0,0,Q57*(1+XLOOKUP(R57,'平台参数'!$A$5:$A$9,'平台参数'!$E$5:$E$9,0)+XLOOKUP(R57,'平台参数'!$A$5:$A$9,'平台参数'!$G$5:$G$9,0))+XLOOKUP(R57,'平台参数'!$A$5:$A$9,'平台参数'!$H$5:$H$9,0))</x:f>
        <x:v>0</x:v>
      </x:c>
      <x:c r="V57" s="270" t="n">
        <x:f>IF(S57=0,0,S57*(1-XLOOKUP(T57,'平台参数'!$A$5:$A$9,'平台参数'!$F$5:$F$9,0)-XLOOKUP(T57,'平台参数'!$A$5:$A$9,'平台参数'!$G$5:$G$9,0))-XLOOKUP(T57,'平台参数'!$A$5:$A$9,'平台参数'!$I$5:$I$9,0))</x:f>
        <x:v>0</x:v>
      </x:c>
      <x:c r="W57" s="270" t="n">
        <x:f>V57-U57</x:f>
        <x:v>0</x:v>
      </x:c>
      <x:c r="X57" s="271" t="n">
        <x:f>IFERROR(W57/U57,0)</x:f>
        <x:v>0</x:v>
      </x:c>
      <x:c r="Y57" s="271" t="n">
        <x:f>IFERROR((S57-Q57)/Q57,0)</x:f>
        <x:v>0</x:v>
      </x:c>
      <x:c r="Z57" s="272"/>
      <x:c r="AA57" s="272"/>
      <x:c r="AB57" s="272"/>
      <x:c r="AC57" s="272" t="str">
        <x:f>IF(A57="","",ROUND((Z57+AA57)*10+X57*100-AB57*8,1))</x:f>
      </x:c>
      <x:c r="AD57" s="269"/>
      <x:c r="AE57" s="270" t="n">
        <x:f>IF(T57="",0,(S57*(1-XLOOKUP(T57,'平台参数'!$A$5:$A$9,'平台参数'!$F$5:$F$9,0)-XLOOKUP(T57,'平台参数'!$A$5:$A$9,'平台参数'!$G$5:$G$9,0))-XLOOKUP(T57,'平台参数'!$A$5:$A$9,'平台参数'!$I$5:$I$9,0))/1.18)</x:f>
        <x:v>0</x:v>
      </x:c>
      <x:c r="AF57" s="273" t="str">
        <x:f>IF(A57="","",IFERROR(MAX(_xlfn._xlws.FILTER('实时行情'!$H$5:$H$124,'实时行情'!$A$5:$A$124=A57)),TODAY()))</x:f>
      </x:c>
      <x:c r="AG57" s="274"/>
    </x:row>
    <x:row r="58">
      <x:c r="A58" s="268"/>
      <x:c r="B58" s="269"/>
      <x:c r="C58" s="269"/>
      <x:c r="D58" s="269"/>
      <x:c r="E58" s="269"/>
      <x:c r="F58" s="269"/>
      <x:c r="G58" s="270" t="n">
        <x:f>SUMIFS('实时行情'!$D$5:$D$124,'实时行情'!$A$5:$A$124,$A58,'实时行情'!$C$5:$C$124,"eBay")</x:f>
        <x:v>0</x:v>
      </x:c>
      <x:c r="H58" s="270" t="n">
        <x:f>SUMIFS('实时行情'!$D$5:$D$124,'实时行情'!$A$5:$A$124,$A58,'实时行情'!$C$5:$C$124,"ALT")</x:f>
        <x:v>0</x:v>
      </x:c>
      <x:c r="I58" s="270" t="n">
        <x:f>SUMIFS('实时行情'!$D$5:$D$124,'实时行情'!$A$5:$A$124,$A58,'实时行情'!$C$5:$C$124,"Card Hobby")</x:f>
        <x:v>0</x:v>
      </x:c>
      <x:c r="J58" s="270" t="n">
        <x:f>SUMIFS('实时行情'!$D$5:$D$124,'实时行情'!$A$5:$A$124,$A58,'实时行情'!$C$5:$C$124,"Fanatics Collect")</x:f>
        <x:v>0</x:v>
      </x:c>
      <x:c r="K58" s="270" t="n">
        <x:f>SUMIFS('实时行情'!$D$5:$D$124,'实时行情'!$A$5:$A$124,$A58,'实时行情'!$C$5:$C$124,"PokerColor")</x:f>
        <x:v>0</x:v>
      </x:c>
      <x:c r="L58" s="270" t="n">
        <x:f>SUMIFS('实时行情'!$E$5:$E$124,'实时行情'!$A$5:$A$124,$A58,'实时行情'!$C$5:$C$124,"eBay")</x:f>
        <x:v>0</x:v>
      </x:c>
      <x:c r="M58" s="270" t="n">
        <x:f>SUMIFS('实时行情'!$E$5:$E$124,'实时行情'!$A$5:$A$124,$A58,'实时行情'!$C$5:$C$124,"ALT")</x:f>
        <x:v>0</x:v>
      </x:c>
      <x:c r="N58" s="270" t="n">
        <x:f>SUMIFS('实时行情'!$E$5:$E$124,'实时行情'!$A$5:$A$124,$A58,'实时行情'!$C$5:$C$124,"Card Hobby")</x:f>
        <x:v>0</x:v>
      </x:c>
      <x:c r="O58" s="270" t="n">
        <x:f>SUMIFS('实时行情'!$E$5:$E$124,'实时行情'!$A$5:$A$124,$A58,'实时行情'!$C$5:$C$124,"Fanatics Collect")</x:f>
        <x:v>0</x:v>
      </x:c>
      <x:c r="P58" s="270" t="n">
        <x:f>SUMIFS('实时行情'!$E$5:$E$124,'实时行情'!$A$5:$A$124,$A58,'实时行情'!$C$5:$C$124,"PokerColor")</x:f>
        <x:v>0</x:v>
      </x:c>
      <x:c r="Q58" s="270" t="n">
        <x:f>IFERROR(MIN(_xlfn._xlws.FILTER(G58:K58,G58:K58&gt;0)),0)</x:f>
        <x:v>0</x:v>
      </x:c>
      <x:c r="R58" s="270" t="str">
        <x:f>IF(Q58=0,"",SUBSTITUTE(SUBSTITUTE(INDEX($G$4:$K$4,1,MATCH(Q58,G58:K58,0)),"买价",""),"Fanatics","Fanatics Collect"))</x:f>
      </x:c>
      <x:c r="S58" s="270" t="n">
        <x:f>IFERROR(MAX(_xlfn._xlws.FILTER(L58:P58,L58:P58&gt;0)),0)</x:f>
        <x:v>0</x:v>
      </x:c>
      <x:c r="T58" s="270" t="str">
        <x:f>IF(S58=0,"",SUBSTITUTE(SUBSTITUTE(INDEX($L$4:$P$4,1,MATCH(S58,L58:P58,0)),"卖价",""),"Fanatics","Fanatics Collect"))</x:f>
      </x:c>
      <x:c r="U58" s="270" t="n">
        <x:f>IF(Q58=0,0,Q58*(1+XLOOKUP(R58,'平台参数'!$A$5:$A$9,'平台参数'!$E$5:$E$9,0)+XLOOKUP(R58,'平台参数'!$A$5:$A$9,'平台参数'!$G$5:$G$9,0))+XLOOKUP(R58,'平台参数'!$A$5:$A$9,'平台参数'!$H$5:$H$9,0))</x:f>
        <x:v>0</x:v>
      </x:c>
      <x:c r="V58" s="270" t="n">
        <x:f>IF(S58=0,0,S58*(1-XLOOKUP(T58,'平台参数'!$A$5:$A$9,'平台参数'!$F$5:$F$9,0)-XLOOKUP(T58,'平台参数'!$A$5:$A$9,'平台参数'!$G$5:$G$9,0))-XLOOKUP(T58,'平台参数'!$A$5:$A$9,'平台参数'!$I$5:$I$9,0))</x:f>
        <x:v>0</x:v>
      </x:c>
      <x:c r="W58" s="270" t="n">
        <x:f>V58-U58</x:f>
        <x:v>0</x:v>
      </x:c>
      <x:c r="X58" s="271" t="n">
        <x:f>IFERROR(W58/U58,0)</x:f>
        <x:v>0</x:v>
      </x:c>
      <x:c r="Y58" s="271" t="n">
        <x:f>IFERROR((S58-Q58)/Q58,0)</x:f>
        <x:v>0</x:v>
      </x:c>
      <x:c r="Z58" s="272"/>
      <x:c r="AA58" s="272"/>
      <x:c r="AB58" s="272"/>
      <x:c r="AC58" s="272" t="str">
        <x:f>IF(A58="","",ROUND((Z58+AA58)*10+X58*100-AB58*8,1))</x:f>
      </x:c>
      <x:c r="AD58" s="269"/>
      <x:c r="AE58" s="270" t="n">
        <x:f>IF(T58="",0,(S58*(1-XLOOKUP(T58,'平台参数'!$A$5:$A$9,'平台参数'!$F$5:$F$9,0)-XLOOKUP(T58,'平台参数'!$A$5:$A$9,'平台参数'!$G$5:$G$9,0))-XLOOKUP(T58,'平台参数'!$A$5:$A$9,'平台参数'!$I$5:$I$9,0))/1.18)</x:f>
        <x:v>0</x:v>
      </x:c>
      <x:c r="AF58" s="273" t="str">
        <x:f>IF(A58="","",IFERROR(MAX(_xlfn._xlws.FILTER('实时行情'!$H$5:$H$124,'实时行情'!$A$5:$A$124=A58)),TODAY()))</x:f>
      </x:c>
      <x:c r="AG58" s="274"/>
    </x:row>
    <x:row r="59">
      <x:c r="A59" s="268"/>
      <x:c r="B59" s="269"/>
      <x:c r="C59" s="269"/>
      <x:c r="D59" s="269"/>
      <x:c r="E59" s="269"/>
      <x:c r="F59" s="269"/>
      <x:c r="G59" s="270" t="n">
        <x:f>SUMIFS('实时行情'!$D$5:$D$124,'实时行情'!$A$5:$A$124,$A59,'实时行情'!$C$5:$C$124,"eBay")</x:f>
        <x:v>0</x:v>
      </x:c>
      <x:c r="H59" s="270" t="n">
        <x:f>SUMIFS('实时行情'!$D$5:$D$124,'实时行情'!$A$5:$A$124,$A59,'实时行情'!$C$5:$C$124,"ALT")</x:f>
        <x:v>0</x:v>
      </x:c>
      <x:c r="I59" s="270" t="n">
        <x:f>SUMIFS('实时行情'!$D$5:$D$124,'实时行情'!$A$5:$A$124,$A59,'实时行情'!$C$5:$C$124,"Card Hobby")</x:f>
        <x:v>0</x:v>
      </x:c>
      <x:c r="J59" s="270" t="n">
        <x:f>SUMIFS('实时行情'!$D$5:$D$124,'实时行情'!$A$5:$A$124,$A59,'实时行情'!$C$5:$C$124,"Fanatics Collect")</x:f>
        <x:v>0</x:v>
      </x:c>
      <x:c r="K59" s="270" t="n">
        <x:f>SUMIFS('实时行情'!$D$5:$D$124,'实时行情'!$A$5:$A$124,$A59,'实时行情'!$C$5:$C$124,"PokerColor")</x:f>
        <x:v>0</x:v>
      </x:c>
      <x:c r="L59" s="270" t="n">
        <x:f>SUMIFS('实时行情'!$E$5:$E$124,'实时行情'!$A$5:$A$124,$A59,'实时行情'!$C$5:$C$124,"eBay")</x:f>
        <x:v>0</x:v>
      </x:c>
      <x:c r="M59" s="270" t="n">
        <x:f>SUMIFS('实时行情'!$E$5:$E$124,'实时行情'!$A$5:$A$124,$A59,'实时行情'!$C$5:$C$124,"ALT")</x:f>
        <x:v>0</x:v>
      </x:c>
      <x:c r="N59" s="270" t="n">
        <x:f>SUMIFS('实时行情'!$E$5:$E$124,'实时行情'!$A$5:$A$124,$A59,'实时行情'!$C$5:$C$124,"Card Hobby")</x:f>
        <x:v>0</x:v>
      </x:c>
      <x:c r="O59" s="270" t="n">
        <x:f>SUMIFS('实时行情'!$E$5:$E$124,'实时行情'!$A$5:$A$124,$A59,'实时行情'!$C$5:$C$124,"Fanatics Collect")</x:f>
        <x:v>0</x:v>
      </x:c>
      <x:c r="P59" s="270" t="n">
        <x:f>SUMIFS('实时行情'!$E$5:$E$124,'实时行情'!$A$5:$A$124,$A59,'实时行情'!$C$5:$C$124,"PokerColor")</x:f>
        <x:v>0</x:v>
      </x:c>
      <x:c r="Q59" s="270" t="n">
        <x:f>IFERROR(MIN(_xlfn._xlws.FILTER(G59:K59,G59:K59&gt;0)),0)</x:f>
        <x:v>0</x:v>
      </x:c>
      <x:c r="R59" s="270" t="str">
        <x:f>IF(Q59=0,"",SUBSTITUTE(SUBSTITUTE(INDEX($G$4:$K$4,1,MATCH(Q59,G59:K59,0)),"买价",""),"Fanatics","Fanatics Collect"))</x:f>
      </x:c>
      <x:c r="S59" s="270" t="n">
        <x:f>IFERROR(MAX(_xlfn._xlws.FILTER(L59:P59,L59:P59&gt;0)),0)</x:f>
        <x:v>0</x:v>
      </x:c>
      <x:c r="T59" s="270" t="str">
        <x:f>IF(S59=0,"",SUBSTITUTE(SUBSTITUTE(INDEX($L$4:$P$4,1,MATCH(S59,L59:P59,0)),"卖价",""),"Fanatics","Fanatics Collect"))</x:f>
      </x:c>
      <x:c r="U59" s="270" t="n">
        <x:f>IF(Q59=0,0,Q59*(1+XLOOKUP(R59,'平台参数'!$A$5:$A$9,'平台参数'!$E$5:$E$9,0)+XLOOKUP(R59,'平台参数'!$A$5:$A$9,'平台参数'!$G$5:$G$9,0))+XLOOKUP(R59,'平台参数'!$A$5:$A$9,'平台参数'!$H$5:$H$9,0))</x:f>
        <x:v>0</x:v>
      </x:c>
      <x:c r="V59" s="270" t="n">
        <x:f>IF(S59=0,0,S59*(1-XLOOKUP(T59,'平台参数'!$A$5:$A$9,'平台参数'!$F$5:$F$9,0)-XLOOKUP(T59,'平台参数'!$A$5:$A$9,'平台参数'!$G$5:$G$9,0))-XLOOKUP(T59,'平台参数'!$A$5:$A$9,'平台参数'!$I$5:$I$9,0))</x:f>
        <x:v>0</x:v>
      </x:c>
      <x:c r="W59" s="270" t="n">
        <x:f>V59-U59</x:f>
        <x:v>0</x:v>
      </x:c>
      <x:c r="X59" s="271" t="n">
        <x:f>IFERROR(W59/U59,0)</x:f>
        <x:v>0</x:v>
      </x:c>
      <x:c r="Y59" s="271" t="n">
        <x:f>IFERROR((S59-Q59)/Q59,0)</x:f>
        <x:v>0</x:v>
      </x:c>
      <x:c r="Z59" s="272"/>
      <x:c r="AA59" s="272"/>
      <x:c r="AB59" s="272"/>
      <x:c r="AC59" s="272" t="str">
        <x:f>IF(A59="","",ROUND((Z59+AA59)*10+X59*100-AB59*8,1))</x:f>
      </x:c>
      <x:c r="AD59" s="269"/>
      <x:c r="AE59" s="270" t="n">
        <x:f>IF(T59="",0,(S59*(1-XLOOKUP(T59,'平台参数'!$A$5:$A$9,'平台参数'!$F$5:$F$9,0)-XLOOKUP(T59,'平台参数'!$A$5:$A$9,'平台参数'!$G$5:$G$9,0))-XLOOKUP(T59,'平台参数'!$A$5:$A$9,'平台参数'!$I$5:$I$9,0))/1.18)</x:f>
        <x:v>0</x:v>
      </x:c>
      <x:c r="AF59" s="273" t="str">
        <x:f>IF(A59="","",IFERROR(MAX(_xlfn._xlws.FILTER('实时行情'!$H$5:$H$124,'实时行情'!$A$5:$A$124=A59)),TODAY()))</x:f>
      </x:c>
      <x:c r="AG59" s="274"/>
    </x:row>
    <x:row r="60">
      <x:c r="A60" s="268"/>
      <x:c r="B60" s="269"/>
      <x:c r="C60" s="269"/>
      <x:c r="D60" s="269"/>
      <x:c r="E60" s="269"/>
      <x:c r="F60" s="269"/>
      <x:c r="G60" s="270" t="n">
        <x:f>SUMIFS('实时行情'!$D$5:$D$124,'实时行情'!$A$5:$A$124,$A60,'实时行情'!$C$5:$C$124,"eBay")</x:f>
        <x:v>0</x:v>
      </x:c>
      <x:c r="H60" s="270" t="n">
        <x:f>SUMIFS('实时行情'!$D$5:$D$124,'实时行情'!$A$5:$A$124,$A60,'实时行情'!$C$5:$C$124,"ALT")</x:f>
        <x:v>0</x:v>
      </x:c>
      <x:c r="I60" s="270" t="n">
        <x:f>SUMIFS('实时行情'!$D$5:$D$124,'实时行情'!$A$5:$A$124,$A60,'实时行情'!$C$5:$C$124,"Card Hobby")</x:f>
        <x:v>0</x:v>
      </x:c>
      <x:c r="J60" s="270" t="n">
        <x:f>SUMIFS('实时行情'!$D$5:$D$124,'实时行情'!$A$5:$A$124,$A60,'实时行情'!$C$5:$C$124,"Fanatics Collect")</x:f>
        <x:v>0</x:v>
      </x:c>
      <x:c r="K60" s="270" t="n">
        <x:f>SUMIFS('实时行情'!$D$5:$D$124,'实时行情'!$A$5:$A$124,$A60,'实时行情'!$C$5:$C$124,"PokerColor")</x:f>
        <x:v>0</x:v>
      </x:c>
      <x:c r="L60" s="270" t="n">
        <x:f>SUMIFS('实时行情'!$E$5:$E$124,'实时行情'!$A$5:$A$124,$A60,'实时行情'!$C$5:$C$124,"eBay")</x:f>
        <x:v>0</x:v>
      </x:c>
      <x:c r="M60" s="270" t="n">
        <x:f>SUMIFS('实时行情'!$E$5:$E$124,'实时行情'!$A$5:$A$124,$A60,'实时行情'!$C$5:$C$124,"ALT")</x:f>
        <x:v>0</x:v>
      </x:c>
      <x:c r="N60" s="270" t="n">
        <x:f>SUMIFS('实时行情'!$E$5:$E$124,'实时行情'!$A$5:$A$124,$A60,'实时行情'!$C$5:$C$124,"Card Hobby")</x:f>
        <x:v>0</x:v>
      </x:c>
      <x:c r="O60" s="270" t="n">
        <x:f>SUMIFS('实时行情'!$E$5:$E$124,'实时行情'!$A$5:$A$124,$A60,'实时行情'!$C$5:$C$124,"Fanatics Collect")</x:f>
        <x:v>0</x:v>
      </x:c>
      <x:c r="P60" s="270" t="n">
        <x:f>SUMIFS('实时行情'!$E$5:$E$124,'实时行情'!$A$5:$A$124,$A60,'实时行情'!$C$5:$C$124,"PokerColor")</x:f>
        <x:v>0</x:v>
      </x:c>
      <x:c r="Q60" s="270" t="n">
        <x:f>IFERROR(MIN(_xlfn._xlws.FILTER(G60:K60,G60:K60&gt;0)),0)</x:f>
        <x:v>0</x:v>
      </x:c>
      <x:c r="R60" s="270" t="str">
        <x:f>IF(Q60=0,"",SUBSTITUTE(SUBSTITUTE(INDEX($G$4:$K$4,1,MATCH(Q60,G60:K60,0)),"买价",""),"Fanatics","Fanatics Collect"))</x:f>
      </x:c>
      <x:c r="S60" s="270" t="n">
        <x:f>IFERROR(MAX(_xlfn._xlws.FILTER(L60:P60,L60:P60&gt;0)),0)</x:f>
        <x:v>0</x:v>
      </x:c>
      <x:c r="T60" s="270" t="str">
        <x:f>IF(S60=0,"",SUBSTITUTE(SUBSTITUTE(INDEX($L$4:$P$4,1,MATCH(S60,L60:P60,0)),"卖价",""),"Fanatics","Fanatics Collect"))</x:f>
      </x:c>
      <x:c r="U60" s="270" t="n">
        <x:f>IF(Q60=0,0,Q60*(1+XLOOKUP(R60,'平台参数'!$A$5:$A$9,'平台参数'!$E$5:$E$9,0)+XLOOKUP(R60,'平台参数'!$A$5:$A$9,'平台参数'!$G$5:$G$9,0))+XLOOKUP(R60,'平台参数'!$A$5:$A$9,'平台参数'!$H$5:$H$9,0))</x:f>
        <x:v>0</x:v>
      </x:c>
      <x:c r="V60" s="270" t="n">
        <x:f>IF(S60=0,0,S60*(1-XLOOKUP(T60,'平台参数'!$A$5:$A$9,'平台参数'!$F$5:$F$9,0)-XLOOKUP(T60,'平台参数'!$A$5:$A$9,'平台参数'!$G$5:$G$9,0))-XLOOKUP(T60,'平台参数'!$A$5:$A$9,'平台参数'!$I$5:$I$9,0))</x:f>
        <x:v>0</x:v>
      </x:c>
      <x:c r="W60" s="270" t="n">
        <x:f>V60-U60</x:f>
        <x:v>0</x:v>
      </x:c>
      <x:c r="X60" s="271" t="n">
        <x:f>IFERROR(W60/U60,0)</x:f>
        <x:v>0</x:v>
      </x:c>
      <x:c r="Y60" s="271" t="n">
        <x:f>IFERROR((S60-Q60)/Q60,0)</x:f>
        <x:v>0</x:v>
      </x:c>
      <x:c r="Z60" s="272"/>
      <x:c r="AA60" s="272"/>
      <x:c r="AB60" s="272"/>
      <x:c r="AC60" s="272" t="str">
        <x:f>IF(A60="","",ROUND((Z60+AA60)*10+X60*100-AB60*8,1))</x:f>
      </x:c>
      <x:c r="AD60" s="269"/>
      <x:c r="AE60" s="270" t="n">
        <x:f>IF(T60="",0,(S60*(1-XLOOKUP(T60,'平台参数'!$A$5:$A$9,'平台参数'!$F$5:$F$9,0)-XLOOKUP(T60,'平台参数'!$A$5:$A$9,'平台参数'!$G$5:$G$9,0))-XLOOKUP(T60,'平台参数'!$A$5:$A$9,'平台参数'!$I$5:$I$9,0))/1.18)</x:f>
        <x:v>0</x:v>
      </x:c>
      <x:c r="AF60" s="273" t="str">
        <x:f>IF(A60="","",IFERROR(MAX(_xlfn._xlws.FILTER('实时行情'!$H$5:$H$124,'实时行情'!$A$5:$A$124=A60)),TODAY()))</x:f>
      </x:c>
      <x:c r="AG60" s="274"/>
    </x:row>
    <x:row r="61">
      <x:c r="A61" s="268"/>
      <x:c r="B61" s="269"/>
      <x:c r="C61" s="269"/>
      <x:c r="D61" s="269"/>
      <x:c r="E61" s="269"/>
      <x:c r="F61" s="269"/>
      <x:c r="G61" s="270" t="n">
        <x:f>SUMIFS('实时行情'!$D$5:$D$124,'实时行情'!$A$5:$A$124,$A61,'实时行情'!$C$5:$C$124,"eBay")</x:f>
        <x:v>0</x:v>
      </x:c>
      <x:c r="H61" s="270" t="n">
        <x:f>SUMIFS('实时行情'!$D$5:$D$124,'实时行情'!$A$5:$A$124,$A61,'实时行情'!$C$5:$C$124,"ALT")</x:f>
        <x:v>0</x:v>
      </x:c>
      <x:c r="I61" s="270" t="n">
        <x:f>SUMIFS('实时行情'!$D$5:$D$124,'实时行情'!$A$5:$A$124,$A61,'实时行情'!$C$5:$C$124,"Card Hobby")</x:f>
        <x:v>0</x:v>
      </x:c>
      <x:c r="J61" s="270" t="n">
        <x:f>SUMIFS('实时行情'!$D$5:$D$124,'实时行情'!$A$5:$A$124,$A61,'实时行情'!$C$5:$C$124,"Fanatics Collect")</x:f>
        <x:v>0</x:v>
      </x:c>
      <x:c r="K61" s="270" t="n">
        <x:f>SUMIFS('实时行情'!$D$5:$D$124,'实时行情'!$A$5:$A$124,$A61,'实时行情'!$C$5:$C$124,"PokerColor")</x:f>
        <x:v>0</x:v>
      </x:c>
      <x:c r="L61" s="270" t="n">
        <x:f>SUMIFS('实时行情'!$E$5:$E$124,'实时行情'!$A$5:$A$124,$A61,'实时行情'!$C$5:$C$124,"eBay")</x:f>
        <x:v>0</x:v>
      </x:c>
      <x:c r="M61" s="270" t="n">
        <x:f>SUMIFS('实时行情'!$E$5:$E$124,'实时行情'!$A$5:$A$124,$A61,'实时行情'!$C$5:$C$124,"ALT")</x:f>
        <x:v>0</x:v>
      </x:c>
      <x:c r="N61" s="270" t="n">
        <x:f>SUMIFS('实时行情'!$E$5:$E$124,'实时行情'!$A$5:$A$124,$A61,'实时行情'!$C$5:$C$124,"Card Hobby")</x:f>
        <x:v>0</x:v>
      </x:c>
      <x:c r="O61" s="270" t="n">
        <x:f>SUMIFS('实时行情'!$E$5:$E$124,'实时行情'!$A$5:$A$124,$A61,'实时行情'!$C$5:$C$124,"Fanatics Collect")</x:f>
        <x:v>0</x:v>
      </x:c>
      <x:c r="P61" s="270" t="n">
        <x:f>SUMIFS('实时行情'!$E$5:$E$124,'实时行情'!$A$5:$A$124,$A61,'实时行情'!$C$5:$C$124,"PokerColor")</x:f>
        <x:v>0</x:v>
      </x:c>
      <x:c r="Q61" s="270" t="n">
        <x:f>IFERROR(MIN(_xlfn._xlws.FILTER(G61:K61,G61:K61&gt;0)),0)</x:f>
        <x:v>0</x:v>
      </x:c>
      <x:c r="R61" s="270" t="str">
        <x:f>IF(Q61=0,"",SUBSTITUTE(SUBSTITUTE(INDEX($G$4:$K$4,1,MATCH(Q61,G61:K61,0)),"买价",""),"Fanatics","Fanatics Collect"))</x:f>
      </x:c>
      <x:c r="S61" s="270" t="n">
        <x:f>IFERROR(MAX(_xlfn._xlws.FILTER(L61:P61,L61:P61&gt;0)),0)</x:f>
        <x:v>0</x:v>
      </x:c>
      <x:c r="T61" s="270" t="str">
        <x:f>IF(S61=0,"",SUBSTITUTE(SUBSTITUTE(INDEX($L$4:$P$4,1,MATCH(S61,L61:P61,0)),"卖价",""),"Fanatics","Fanatics Collect"))</x:f>
      </x:c>
      <x:c r="U61" s="270" t="n">
        <x:f>IF(Q61=0,0,Q61*(1+XLOOKUP(R61,'平台参数'!$A$5:$A$9,'平台参数'!$E$5:$E$9,0)+XLOOKUP(R61,'平台参数'!$A$5:$A$9,'平台参数'!$G$5:$G$9,0))+XLOOKUP(R61,'平台参数'!$A$5:$A$9,'平台参数'!$H$5:$H$9,0))</x:f>
        <x:v>0</x:v>
      </x:c>
      <x:c r="V61" s="270" t="n">
        <x:f>IF(S61=0,0,S61*(1-XLOOKUP(T61,'平台参数'!$A$5:$A$9,'平台参数'!$F$5:$F$9,0)-XLOOKUP(T61,'平台参数'!$A$5:$A$9,'平台参数'!$G$5:$G$9,0))-XLOOKUP(T61,'平台参数'!$A$5:$A$9,'平台参数'!$I$5:$I$9,0))</x:f>
        <x:v>0</x:v>
      </x:c>
      <x:c r="W61" s="270" t="n">
        <x:f>V61-U61</x:f>
        <x:v>0</x:v>
      </x:c>
      <x:c r="X61" s="271" t="n">
        <x:f>IFERROR(W61/U61,0)</x:f>
        <x:v>0</x:v>
      </x:c>
      <x:c r="Y61" s="271" t="n">
        <x:f>IFERROR((S61-Q61)/Q61,0)</x:f>
        <x:v>0</x:v>
      </x:c>
      <x:c r="Z61" s="272"/>
      <x:c r="AA61" s="272"/>
      <x:c r="AB61" s="272"/>
      <x:c r="AC61" s="272" t="str">
        <x:f>IF(A61="","",ROUND((Z61+AA61)*10+X61*100-AB61*8,1))</x:f>
      </x:c>
      <x:c r="AD61" s="269"/>
      <x:c r="AE61" s="270" t="n">
        <x:f>IF(T61="",0,(S61*(1-XLOOKUP(T61,'平台参数'!$A$5:$A$9,'平台参数'!$F$5:$F$9,0)-XLOOKUP(T61,'平台参数'!$A$5:$A$9,'平台参数'!$G$5:$G$9,0))-XLOOKUP(T61,'平台参数'!$A$5:$A$9,'平台参数'!$I$5:$I$9,0))/1.18)</x:f>
        <x:v>0</x:v>
      </x:c>
      <x:c r="AF61" s="273" t="str">
        <x:f>IF(A61="","",IFERROR(MAX(_xlfn._xlws.FILTER('实时行情'!$H$5:$H$124,'实时行情'!$A$5:$A$124=A61)),TODAY()))</x:f>
      </x:c>
      <x:c r="AG61" s="274"/>
    </x:row>
    <x:row r="62">
      <x:c r="A62" s="268"/>
      <x:c r="B62" s="269"/>
      <x:c r="C62" s="269"/>
      <x:c r="D62" s="269"/>
      <x:c r="E62" s="269"/>
      <x:c r="F62" s="269"/>
      <x:c r="G62" s="270" t="n">
        <x:f>SUMIFS('实时行情'!$D$5:$D$124,'实时行情'!$A$5:$A$124,$A62,'实时行情'!$C$5:$C$124,"eBay")</x:f>
        <x:v>0</x:v>
      </x:c>
      <x:c r="H62" s="270" t="n">
        <x:f>SUMIFS('实时行情'!$D$5:$D$124,'实时行情'!$A$5:$A$124,$A62,'实时行情'!$C$5:$C$124,"ALT")</x:f>
        <x:v>0</x:v>
      </x:c>
      <x:c r="I62" s="270" t="n">
        <x:f>SUMIFS('实时行情'!$D$5:$D$124,'实时行情'!$A$5:$A$124,$A62,'实时行情'!$C$5:$C$124,"Card Hobby")</x:f>
        <x:v>0</x:v>
      </x:c>
      <x:c r="J62" s="270" t="n">
        <x:f>SUMIFS('实时行情'!$D$5:$D$124,'实时行情'!$A$5:$A$124,$A62,'实时行情'!$C$5:$C$124,"Fanatics Collect")</x:f>
        <x:v>0</x:v>
      </x:c>
      <x:c r="K62" s="270" t="n">
        <x:f>SUMIFS('实时行情'!$D$5:$D$124,'实时行情'!$A$5:$A$124,$A62,'实时行情'!$C$5:$C$124,"PokerColor")</x:f>
        <x:v>0</x:v>
      </x:c>
      <x:c r="L62" s="270" t="n">
        <x:f>SUMIFS('实时行情'!$E$5:$E$124,'实时行情'!$A$5:$A$124,$A62,'实时行情'!$C$5:$C$124,"eBay")</x:f>
        <x:v>0</x:v>
      </x:c>
      <x:c r="M62" s="270" t="n">
        <x:f>SUMIFS('实时行情'!$E$5:$E$124,'实时行情'!$A$5:$A$124,$A62,'实时行情'!$C$5:$C$124,"ALT")</x:f>
        <x:v>0</x:v>
      </x:c>
      <x:c r="N62" s="270" t="n">
        <x:f>SUMIFS('实时行情'!$E$5:$E$124,'实时行情'!$A$5:$A$124,$A62,'实时行情'!$C$5:$C$124,"Card Hobby")</x:f>
        <x:v>0</x:v>
      </x:c>
      <x:c r="O62" s="270" t="n">
        <x:f>SUMIFS('实时行情'!$E$5:$E$124,'实时行情'!$A$5:$A$124,$A62,'实时行情'!$C$5:$C$124,"Fanatics Collect")</x:f>
        <x:v>0</x:v>
      </x:c>
      <x:c r="P62" s="270" t="n">
        <x:f>SUMIFS('实时行情'!$E$5:$E$124,'实时行情'!$A$5:$A$124,$A62,'实时行情'!$C$5:$C$124,"PokerColor")</x:f>
        <x:v>0</x:v>
      </x:c>
      <x:c r="Q62" s="270" t="n">
        <x:f>IFERROR(MIN(_xlfn._xlws.FILTER(G62:K62,G62:K62&gt;0)),0)</x:f>
        <x:v>0</x:v>
      </x:c>
      <x:c r="R62" s="270" t="str">
        <x:f>IF(Q62=0,"",SUBSTITUTE(SUBSTITUTE(INDEX($G$4:$K$4,1,MATCH(Q62,G62:K62,0)),"买价",""),"Fanatics","Fanatics Collect"))</x:f>
      </x:c>
      <x:c r="S62" s="270" t="n">
        <x:f>IFERROR(MAX(_xlfn._xlws.FILTER(L62:P62,L62:P62&gt;0)),0)</x:f>
        <x:v>0</x:v>
      </x:c>
      <x:c r="T62" s="270" t="str">
        <x:f>IF(S62=0,"",SUBSTITUTE(SUBSTITUTE(INDEX($L$4:$P$4,1,MATCH(S62,L62:P62,0)),"卖价",""),"Fanatics","Fanatics Collect"))</x:f>
      </x:c>
      <x:c r="U62" s="270" t="n">
        <x:f>IF(Q62=0,0,Q62*(1+XLOOKUP(R62,'平台参数'!$A$5:$A$9,'平台参数'!$E$5:$E$9,0)+XLOOKUP(R62,'平台参数'!$A$5:$A$9,'平台参数'!$G$5:$G$9,0))+XLOOKUP(R62,'平台参数'!$A$5:$A$9,'平台参数'!$H$5:$H$9,0))</x:f>
        <x:v>0</x:v>
      </x:c>
      <x:c r="V62" s="270" t="n">
        <x:f>IF(S62=0,0,S62*(1-XLOOKUP(T62,'平台参数'!$A$5:$A$9,'平台参数'!$F$5:$F$9,0)-XLOOKUP(T62,'平台参数'!$A$5:$A$9,'平台参数'!$G$5:$G$9,0))-XLOOKUP(T62,'平台参数'!$A$5:$A$9,'平台参数'!$I$5:$I$9,0))</x:f>
        <x:v>0</x:v>
      </x:c>
      <x:c r="W62" s="270" t="n">
        <x:f>V62-U62</x:f>
        <x:v>0</x:v>
      </x:c>
      <x:c r="X62" s="271" t="n">
        <x:f>IFERROR(W62/U62,0)</x:f>
        <x:v>0</x:v>
      </x:c>
      <x:c r="Y62" s="271" t="n">
        <x:f>IFERROR((S62-Q62)/Q62,0)</x:f>
        <x:v>0</x:v>
      </x:c>
      <x:c r="Z62" s="272"/>
      <x:c r="AA62" s="272"/>
      <x:c r="AB62" s="272"/>
      <x:c r="AC62" s="272" t="str">
        <x:f>IF(A62="","",ROUND((Z62+AA62)*10+X62*100-AB62*8,1))</x:f>
      </x:c>
      <x:c r="AD62" s="269"/>
      <x:c r="AE62" s="270" t="n">
        <x:f>IF(T62="",0,(S62*(1-XLOOKUP(T62,'平台参数'!$A$5:$A$9,'平台参数'!$F$5:$F$9,0)-XLOOKUP(T62,'平台参数'!$A$5:$A$9,'平台参数'!$G$5:$G$9,0))-XLOOKUP(T62,'平台参数'!$A$5:$A$9,'平台参数'!$I$5:$I$9,0))/1.18)</x:f>
        <x:v>0</x:v>
      </x:c>
      <x:c r="AF62" s="273" t="str">
        <x:f>IF(A62="","",IFERROR(MAX(_xlfn._xlws.FILTER('实时行情'!$H$5:$H$124,'实时行情'!$A$5:$A$124=A62)),TODAY()))</x:f>
      </x:c>
      <x:c r="AG62" s="274"/>
    </x:row>
    <x:row r="63">
      <x:c r="A63" s="268"/>
      <x:c r="B63" s="269"/>
      <x:c r="C63" s="269"/>
      <x:c r="D63" s="269"/>
      <x:c r="E63" s="269"/>
      <x:c r="F63" s="269"/>
      <x:c r="G63" s="270" t="n">
        <x:f>SUMIFS('实时行情'!$D$5:$D$124,'实时行情'!$A$5:$A$124,$A63,'实时行情'!$C$5:$C$124,"eBay")</x:f>
        <x:v>0</x:v>
      </x:c>
      <x:c r="H63" s="270" t="n">
        <x:f>SUMIFS('实时行情'!$D$5:$D$124,'实时行情'!$A$5:$A$124,$A63,'实时行情'!$C$5:$C$124,"ALT")</x:f>
        <x:v>0</x:v>
      </x:c>
      <x:c r="I63" s="270" t="n">
        <x:f>SUMIFS('实时行情'!$D$5:$D$124,'实时行情'!$A$5:$A$124,$A63,'实时行情'!$C$5:$C$124,"Card Hobby")</x:f>
        <x:v>0</x:v>
      </x:c>
      <x:c r="J63" s="270" t="n">
        <x:f>SUMIFS('实时行情'!$D$5:$D$124,'实时行情'!$A$5:$A$124,$A63,'实时行情'!$C$5:$C$124,"Fanatics Collect")</x:f>
        <x:v>0</x:v>
      </x:c>
      <x:c r="K63" s="270" t="n">
        <x:f>SUMIFS('实时行情'!$D$5:$D$124,'实时行情'!$A$5:$A$124,$A63,'实时行情'!$C$5:$C$124,"PokerColor")</x:f>
        <x:v>0</x:v>
      </x:c>
      <x:c r="L63" s="270" t="n">
        <x:f>SUMIFS('实时行情'!$E$5:$E$124,'实时行情'!$A$5:$A$124,$A63,'实时行情'!$C$5:$C$124,"eBay")</x:f>
        <x:v>0</x:v>
      </x:c>
      <x:c r="M63" s="270" t="n">
        <x:f>SUMIFS('实时行情'!$E$5:$E$124,'实时行情'!$A$5:$A$124,$A63,'实时行情'!$C$5:$C$124,"ALT")</x:f>
        <x:v>0</x:v>
      </x:c>
      <x:c r="N63" s="270" t="n">
        <x:f>SUMIFS('实时行情'!$E$5:$E$124,'实时行情'!$A$5:$A$124,$A63,'实时行情'!$C$5:$C$124,"Card Hobby")</x:f>
        <x:v>0</x:v>
      </x:c>
      <x:c r="O63" s="270" t="n">
        <x:f>SUMIFS('实时行情'!$E$5:$E$124,'实时行情'!$A$5:$A$124,$A63,'实时行情'!$C$5:$C$124,"Fanatics Collect")</x:f>
        <x:v>0</x:v>
      </x:c>
      <x:c r="P63" s="270" t="n">
        <x:f>SUMIFS('实时行情'!$E$5:$E$124,'实时行情'!$A$5:$A$124,$A63,'实时行情'!$C$5:$C$124,"PokerColor")</x:f>
        <x:v>0</x:v>
      </x:c>
      <x:c r="Q63" s="270" t="n">
        <x:f>IFERROR(MIN(_xlfn._xlws.FILTER(G63:K63,G63:K63&gt;0)),0)</x:f>
        <x:v>0</x:v>
      </x:c>
      <x:c r="R63" s="270" t="str">
        <x:f>IF(Q63=0,"",SUBSTITUTE(SUBSTITUTE(INDEX($G$4:$K$4,1,MATCH(Q63,G63:K63,0)),"买价",""),"Fanatics","Fanatics Collect"))</x:f>
      </x:c>
      <x:c r="S63" s="270" t="n">
        <x:f>IFERROR(MAX(_xlfn._xlws.FILTER(L63:P63,L63:P63&gt;0)),0)</x:f>
        <x:v>0</x:v>
      </x:c>
      <x:c r="T63" s="270" t="str">
        <x:f>IF(S63=0,"",SUBSTITUTE(SUBSTITUTE(INDEX($L$4:$P$4,1,MATCH(S63,L63:P63,0)),"卖价",""),"Fanatics","Fanatics Collect"))</x:f>
      </x:c>
      <x:c r="U63" s="270" t="n">
        <x:f>IF(Q63=0,0,Q63*(1+XLOOKUP(R63,'平台参数'!$A$5:$A$9,'平台参数'!$E$5:$E$9,0)+XLOOKUP(R63,'平台参数'!$A$5:$A$9,'平台参数'!$G$5:$G$9,0))+XLOOKUP(R63,'平台参数'!$A$5:$A$9,'平台参数'!$H$5:$H$9,0))</x:f>
        <x:v>0</x:v>
      </x:c>
      <x:c r="V63" s="270" t="n">
        <x:f>IF(S63=0,0,S63*(1-XLOOKUP(T63,'平台参数'!$A$5:$A$9,'平台参数'!$F$5:$F$9,0)-XLOOKUP(T63,'平台参数'!$A$5:$A$9,'平台参数'!$G$5:$G$9,0))-XLOOKUP(T63,'平台参数'!$A$5:$A$9,'平台参数'!$I$5:$I$9,0))</x:f>
        <x:v>0</x:v>
      </x:c>
      <x:c r="W63" s="270" t="n">
        <x:f>V63-U63</x:f>
        <x:v>0</x:v>
      </x:c>
      <x:c r="X63" s="271" t="n">
        <x:f>IFERROR(W63/U63,0)</x:f>
        <x:v>0</x:v>
      </x:c>
      <x:c r="Y63" s="271" t="n">
        <x:f>IFERROR((S63-Q63)/Q63,0)</x:f>
        <x:v>0</x:v>
      </x:c>
      <x:c r="Z63" s="272"/>
      <x:c r="AA63" s="272"/>
      <x:c r="AB63" s="272"/>
      <x:c r="AC63" s="272" t="str">
        <x:f>IF(A63="","",ROUND((Z63+AA63)*10+X63*100-AB63*8,1))</x:f>
      </x:c>
      <x:c r="AD63" s="269"/>
      <x:c r="AE63" s="270" t="n">
        <x:f>IF(T63="",0,(S63*(1-XLOOKUP(T63,'平台参数'!$A$5:$A$9,'平台参数'!$F$5:$F$9,0)-XLOOKUP(T63,'平台参数'!$A$5:$A$9,'平台参数'!$G$5:$G$9,0))-XLOOKUP(T63,'平台参数'!$A$5:$A$9,'平台参数'!$I$5:$I$9,0))/1.18)</x:f>
        <x:v>0</x:v>
      </x:c>
      <x:c r="AF63" s="273" t="str">
        <x:f>IF(A63="","",IFERROR(MAX(_xlfn._xlws.FILTER('实时行情'!$H$5:$H$124,'实时行情'!$A$5:$A$124=A63)),TODAY()))</x:f>
      </x:c>
      <x:c r="AG63" s="274"/>
    </x:row>
    <x:row r="64">
      <x:c r="A64" s="268"/>
      <x:c r="B64" s="269"/>
      <x:c r="C64" s="269"/>
      <x:c r="D64" s="269"/>
      <x:c r="E64" s="269"/>
      <x:c r="F64" s="269"/>
      <x:c r="G64" s="270" t="n">
        <x:f>SUMIFS('实时行情'!$D$5:$D$124,'实时行情'!$A$5:$A$124,$A64,'实时行情'!$C$5:$C$124,"eBay")</x:f>
        <x:v>0</x:v>
      </x:c>
      <x:c r="H64" s="270" t="n">
        <x:f>SUMIFS('实时行情'!$D$5:$D$124,'实时行情'!$A$5:$A$124,$A64,'实时行情'!$C$5:$C$124,"ALT")</x:f>
        <x:v>0</x:v>
      </x:c>
      <x:c r="I64" s="270" t="n">
        <x:f>SUMIFS('实时行情'!$D$5:$D$124,'实时行情'!$A$5:$A$124,$A64,'实时行情'!$C$5:$C$124,"Card Hobby")</x:f>
        <x:v>0</x:v>
      </x:c>
      <x:c r="J64" s="270" t="n">
        <x:f>SUMIFS('实时行情'!$D$5:$D$124,'实时行情'!$A$5:$A$124,$A64,'实时行情'!$C$5:$C$124,"Fanatics Collect")</x:f>
        <x:v>0</x:v>
      </x:c>
      <x:c r="K64" s="270" t="n">
        <x:f>SUMIFS('实时行情'!$D$5:$D$124,'实时行情'!$A$5:$A$124,$A64,'实时行情'!$C$5:$C$124,"PokerColor")</x:f>
        <x:v>0</x:v>
      </x:c>
      <x:c r="L64" s="270" t="n">
        <x:f>SUMIFS('实时行情'!$E$5:$E$124,'实时行情'!$A$5:$A$124,$A64,'实时行情'!$C$5:$C$124,"eBay")</x:f>
        <x:v>0</x:v>
      </x:c>
      <x:c r="M64" s="270" t="n">
        <x:f>SUMIFS('实时行情'!$E$5:$E$124,'实时行情'!$A$5:$A$124,$A64,'实时行情'!$C$5:$C$124,"ALT")</x:f>
        <x:v>0</x:v>
      </x:c>
      <x:c r="N64" s="270" t="n">
        <x:f>SUMIFS('实时行情'!$E$5:$E$124,'实时行情'!$A$5:$A$124,$A64,'实时行情'!$C$5:$C$124,"Card Hobby")</x:f>
        <x:v>0</x:v>
      </x:c>
      <x:c r="O64" s="270" t="n">
        <x:f>SUMIFS('实时行情'!$E$5:$E$124,'实时行情'!$A$5:$A$124,$A64,'实时行情'!$C$5:$C$124,"Fanatics Collect")</x:f>
        <x:v>0</x:v>
      </x:c>
      <x:c r="P64" s="270" t="n">
        <x:f>SUMIFS('实时行情'!$E$5:$E$124,'实时行情'!$A$5:$A$124,$A64,'实时行情'!$C$5:$C$124,"PokerColor")</x:f>
        <x:v>0</x:v>
      </x:c>
      <x:c r="Q64" s="270" t="n">
        <x:f>IFERROR(MIN(_xlfn._xlws.FILTER(G64:K64,G64:K64&gt;0)),0)</x:f>
        <x:v>0</x:v>
      </x:c>
      <x:c r="R64" s="270" t="str">
        <x:f>IF(Q64=0,"",SUBSTITUTE(SUBSTITUTE(INDEX($G$4:$K$4,1,MATCH(Q64,G64:K64,0)),"买价",""),"Fanatics","Fanatics Collect"))</x:f>
      </x:c>
      <x:c r="S64" s="270" t="n">
        <x:f>IFERROR(MAX(_xlfn._xlws.FILTER(L64:P64,L64:P64&gt;0)),0)</x:f>
        <x:v>0</x:v>
      </x:c>
      <x:c r="T64" s="270" t="str">
        <x:f>IF(S64=0,"",SUBSTITUTE(SUBSTITUTE(INDEX($L$4:$P$4,1,MATCH(S64,L64:P64,0)),"卖价",""),"Fanatics","Fanatics Collect"))</x:f>
      </x:c>
      <x:c r="U64" s="270" t="n">
        <x:f>IF(Q64=0,0,Q64*(1+XLOOKUP(R64,'平台参数'!$A$5:$A$9,'平台参数'!$E$5:$E$9,0)+XLOOKUP(R64,'平台参数'!$A$5:$A$9,'平台参数'!$G$5:$G$9,0))+XLOOKUP(R64,'平台参数'!$A$5:$A$9,'平台参数'!$H$5:$H$9,0))</x:f>
        <x:v>0</x:v>
      </x:c>
      <x:c r="V64" s="270" t="n">
        <x:f>IF(S64=0,0,S64*(1-XLOOKUP(T64,'平台参数'!$A$5:$A$9,'平台参数'!$F$5:$F$9,0)-XLOOKUP(T64,'平台参数'!$A$5:$A$9,'平台参数'!$G$5:$G$9,0))-XLOOKUP(T64,'平台参数'!$A$5:$A$9,'平台参数'!$I$5:$I$9,0))</x:f>
        <x:v>0</x:v>
      </x:c>
      <x:c r="W64" s="270" t="n">
        <x:f>V64-U64</x:f>
        <x:v>0</x:v>
      </x:c>
      <x:c r="X64" s="271" t="n">
        <x:f>IFERROR(W64/U64,0)</x:f>
        <x:v>0</x:v>
      </x:c>
      <x:c r="Y64" s="271" t="n">
        <x:f>IFERROR((S64-Q64)/Q64,0)</x:f>
        <x:v>0</x:v>
      </x:c>
      <x:c r="Z64" s="272"/>
      <x:c r="AA64" s="272"/>
      <x:c r="AB64" s="272"/>
      <x:c r="AC64" s="272" t="str">
        <x:f>IF(A64="","",ROUND((Z64+AA64)*10+X64*100-AB64*8,1))</x:f>
      </x:c>
      <x:c r="AD64" s="269"/>
      <x:c r="AE64" s="270" t="n">
        <x:f>IF(T64="",0,(S64*(1-XLOOKUP(T64,'平台参数'!$A$5:$A$9,'平台参数'!$F$5:$F$9,0)-XLOOKUP(T64,'平台参数'!$A$5:$A$9,'平台参数'!$G$5:$G$9,0))-XLOOKUP(T64,'平台参数'!$A$5:$A$9,'平台参数'!$I$5:$I$9,0))/1.18)</x:f>
        <x:v>0</x:v>
      </x:c>
      <x:c r="AF64" s="273" t="str">
        <x:f>IF(A64="","",IFERROR(MAX(_xlfn._xlws.FILTER('实时行情'!$H$5:$H$124,'实时行情'!$A$5:$A$124=A64)),TODAY()))</x:f>
      </x:c>
      <x:c r="AG64" s="274"/>
    </x:row>
    <x:row r="65">
      <x:c r="A65" s="268"/>
      <x:c r="B65" s="269"/>
      <x:c r="C65" s="269"/>
      <x:c r="D65" s="269"/>
      <x:c r="E65" s="269"/>
      <x:c r="F65" s="269"/>
      <x:c r="G65" s="270" t="n">
        <x:f>SUMIFS('实时行情'!$D$5:$D$124,'实时行情'!$A$5:$A$124,$A65,'实时行情'!$C$5:$C$124,"eBay")</x:f>
        <x:v>0</x:v>
      </x:c>
      <x:c r="H65" s="270" t="n">
        <x:f>SUMIFS('实时行情'!$D$5:$D$124,'实时行情'!$A$5:$A$124,$A65,'实时行情'!$C$5:$C$124,"ALT")</x:f>
        <x:v>0</x:v>
      </x:c>
      <x:c r="I65" s="270" t="n">
        <x:f>SUMIFS('实时行情'!$D$5:$D$124,'实时行情'!$A$5:$A$124,$A65,'实时行情'!$C$5:$C$124,"Card Hobby")</x:f>
        <x:v>0</x:v>
      </x:c>
      <x:c r="J65" s="270" t="n">
        <x:f>SUMIFS('实时行情'!$D$5:$D$124,'实时行情'!$A$5:$A$124,$A65,'实时行情'!$C$5:$C$124,"Fanatics Collect")</x:f>
        <x:v>0</x:v>
      </x:c>
      <x:c r="K65" s="270" t="n">
        <x:f>SUMIFS('实时行情'!$D$5:$D$124,'实时行情'!$A$5:$A$124,$A65,'实时行情'!$C$5:$C$124,"PokerColor")</x:f>
        <x:v>0</x:v>
      </x:c>
      <x:c r="L65" s="270" t="n">
        <x:f>SUMIFS('实时行情'!$E$5:$E$124,'实时行情'!$A$5:$A$124,$A65,'实时行情'!$C$5:$C$124,"eBay")</x:f>
        <x:v>0</x:v>
      </x:c>
      <x:c r="M65" s="270" t="n">
        <x:f>SUMIFS('实时行情'!$E$5:$E$124,'实时行情'!$A$5:$A$124,$A65,'实时行情'!$C$5:$C$124,"ALT")</x:f>
        <x:v>0</x:v>
      </x:c>
      <x:c r="N65" s="270" t="n">
        <x:f>SUMIFS('实时行情'!$E$5:$E$124,'实时行情'!$A$5:$A$124,$A65,'实时行情'!$C$5:$C$124,"Card Hobby")</x:f>
        <x:v>0</x:v>
      </x:c>
      <x:c r="O65" s="270" t="n">
        <x:f>SUMIFS('实时行情'!$E$5:$E$124,'实时行情'!$A$5:$A$124,$A65,'实时行情'!$C$5:$C$124,"Fanatics Collect")</x:f>
        <x:v>0</x:v>
      </x:c>
      <x:c r="P65" s="270" t="n">
        <x:f>SUMIFS('实时行情'!$E$5:$E$124,'实时行情'!$A$5:$A$124,$A65,'实时行情'!$C$5:$C$124,"PokerColor")</x:f>
        <x:v>0</x:v>
      </x:c>
      <x:c r="Q65" s="270" t="n">
        <x:f>IFERROR(MIN(_xlfn._xlws.FILTER(G65:K65,G65:K65&gt;0)),0)</x:f>
        <x:v>0</x:v>
      </x:c>
      <x:c r="R65" s="270" t="str">
        <x:f>IF(Q65=0,"",SUBSTITUTE(SUBSTITUTE(INDEX($G$4:$K$4,1,MATCH(Q65,G65:K65,0)),"买价",""),"Fanatics","Fanatics Collect"))</x:f>
      </x:c>
      <x:c r="S65" s="270" t="n">
        <x:f>IFERROR(MAX(_xlfn._xlws.FILTER(L65:P65,L65:P65&gt;0)),0)</x:f>
        <x:v>0</x:v>
      </x:c>
      <x:c r="T65" s="270" t="str">
        <x:f>IF(S65=0,"",SUBSTITUTE(SUBSTITUTE(INDEX($L$4:$P$4,1,MATCH(S65,L65:P65,0)),"卖价",""),"Fanatics","Fanatics Collect"))</x:f>
      </x:c>
      <x:c r="U65" s="270" t="n">
        <x:f>IF(Q65=0,0,Q65*(1+XLOOKUP(R65,'平台参数'!$A$5:$A$9,'平台参数'!$E$5:$E$9,0)+XLOOKUP(R65,'平台参数'!$A$5:$A$9,'平台参数'!$G$5:$G$9,0))+XLOOKUP(R65,'平台参数'!$A$5:$A$9,'平台参数'!$H$5:$H$9,0))</x:f>
        <x:v>0</x:v>
      </x:c>
      <x:c r="V65" s="270" t="n">
        <x:f>IF(S65=0,0,S65*(1-XLOOKUP(T65,'平台参数'!$A$5:$A$9,'平台参数'!$F$5:$F$9,0)-XLOOKUP(T65,'平台参数'!$A$5:$A$9,'平台参数'!$G$5:$G$9,0))-XLOOKUP(T65,'平台参数'!$A$5:$A$9,'平台参数'!$I$5:$I$9,0))</x:f>
        <x:v>0</x:v>
      </x:c>
      <x:c r="W65" s="270" t="n">
        <x:f>V65-U65</x:f>
        <x:v>0</x:v>
      </x:c>
      <x:c r="X65" s="271" t="n">
        <x:f>IFERROR(W65/U65,0)</x:f>
        <x:v>0</x:v>
      </x:c>
      <x:c r="Y65" s="271" t="n">
        <x:f>IFERROR((S65-Q65)/Q65,0)</x:f>
        <x:v>0</x:v>
      </x:c>
      <x:c r="Z65" s="272"/>
      <x:c r="AA65" s="272"/>
      <x:c r="AB65" s="272"/>
      <x:c r="AC65" s="272" t="str">
        <x:f>IF(A65="","",ROUND((Z65+AA65)*10+X65*100-AB65*8,1))</x:f>
      </x:c>
      <x:c r="AD65" s="269"/>
      <x:c r="AE65" s="270" t="n">
        <x:f>IF(T65="",0,(S65*(1-XLOOKUP(T65,'平台参数'!$A$5:$A$9,'平台参数'!$F$5:$F$9,0)-XLOOKUP(T65,'平台参数'!$A$5:$A$9,'平台参数'!$G$5:$G$9,0))-XLOOKUP(T65,'平台参数'!$A$5:$A$9,'平台参数'!$I$5:$I$9,0))/1.18)</x:f>
        <x:v>0</x:v>
      </x:c>
      <x:c r="AF65" s="273" t="str">
        <x:f>IF(A65="","",IFERROR(MAX(_xlfn._xlws.FILTER('实时行情'!$H$5:$H$124,'实时行情'!$A$5:$A$124=A65)),TODAY()))</x:f>
      </x:c>
      <x:c r="AG65" s="274"/>
    </x:row>
    <x:row r="66">
      <x:c r="A66" s="268"/>
      <x:c r="B66" s="269"/>
      <x:c r="C66" s="269"/>
      <x:c r="D66" s="269"/>
      <x:c r="E66" s="269"/>
      <x:c r="F66" s="269"/>
      <x:c r="G66" s="270" t="n">
        <x:f>SUMIFS('实时行情'!$D$5:$D$124,'实时行情'!$A$5:$A$124,$A66,'实时行情'!$C$5:$C$124,"eBay")</x:f>
        <x:v>0</x:v>
      </x:c>
      <x:c r="H66" s="270" t="n">
        <x:f>SUMIFS('实时行情'!$D$5:$D$124,'实时行情'!$A$5:$A$124,$A66,'实时行情'!$C$5:$C$124,"ALT")</x:f>
        <x:v>0</x:v>
      </x:c>
      <x:c r="I66" s="270" t="n">
        <x:f>SUMIFS('实时行情'!$D$5:$D$124,'实时行情'!$A$5:$A$124,$A66,'实时行情'!$C$5:$C$124,"Card Hobby")</x:f>
        <x:v>0</x:v>
      </x:c>
      <x:c r="J66" s="270" t="n">
        <x:f>SUMIFS('实时行情'!$D$5:$D$124,'实时行情'!$A$5:$A$124,$A66,'实时行情'!$C$5:$C$124,"Fanatics Collect")</x:f>
        <x:v>0</x:v>
      </x:c>
      <x:c r="K66" s="270" t="n">
        <x:f>SUMIFS('实时行情'!$D$5:$D$124,'实时行情'!$A$5:$A$124,$A66,'实时行情'!$C$5:$C$124,"PokerColor")</x:f>
        <x:v>0</x:v>
      </x:c>
      <x:c r="L66" s="270" t="n">
        <x:f>SUMIFS('实时行情'!$E$5:$E$124,'实时行情'!$A$5:$A$124,$A66,'实时行情'!$C$5:$C$124,"eBay")</x:f>
        <x:v>0</x:v>
      </x:c>
      <x:c r="M66" s="270" t="n">
        <x:f>SUMIFS('实时行情'!$E$5:$E$124,'实时行情'!$A$5:$A$124,$A66,'实时行情'!$C$5:$C$124,"ALT")</x:f>
        <x:v>0</x:v>
      </x:c>
      <x:c r="N66" s="270" t="n">
        <x:f>SUMIFS('实时行情'!$E$5:$E$124,'实时行情'!$A$5:$A$124,$A66,'实时行情'!$C$5:$C$124,"Card Hobby")</x:f>
        <x:v>0</x:v>
      </x:c>
      <x:c r="O66" s="270" t="n">
        <x:f>SUMIFS('实时行情'!$E$5:$E$124,'实时行情'!$A$5:$A$124,$A66,'实时行情'!$C$5:$C$124,"Fanatics Collect")</x:f>
        <x:v>0</x:v>
      </x:c>
      <x:c r="P66" s="270" t="n">
        <x:f>SUMIFS('实时行情'!$E$5:$E$124,'实时行情'!$A$5:$A$124,$A66,'实时行情'!$C$5:$C$124,"PokerColor")</x:f>
        <x:v>0</x:v>
      </x:c>
      <x:c r="Q66" s="270" t="n">
        <x:f>IFERROR(MIN(_xlfn._xlws.FILTER(G66:K66,G66:K66&gt;0)),0)</x:f>
        <x:v>0</x:v>
      </x:c>
      <x:c r="R66" s="270" t="str">
        <x:f>IF(Q66=0,"",SUBSTITUTE(SUBSTITUTE(INDEX($G$4:$K$4,1,MATCH(Q66,G66:K66,0)),"买价",""),"Fanatics","Fanatics Collect"))</x:f>
      </x:c>
      <x:c r="S66" s="270" t="n">
        <x:f>IFERROR(MAX(_xlfn._xlws.FILTER(L66:P66,L66:P66&gt;0)),0)</x:f>
        <x:v>0</x:v>
      </x:c>
      <x:c r="T66" s="270" t="str">
        <x:f>IF(S66=0,"",SUBSTITUTE(SUBSTITUTE(INDEX($L$4:$P$4,1,MATCH(S66,L66:P66,0)),"卖价",""),"Fanatics","Fanatics Collect"))</x:f>
      </x:c>
      <x:c r="U66" s="270" t="n">
        <x:f>IF(Q66=0,0,Q66*(1+XLOOKUP(R66,'平台参数'!$A$5:$A$9,'平台参数'!$E$5:$E$9,0)+XLOOKUP(R66,'平台参数'!$A$5:$A$9,'平台参数'!$G$5:$G$9,0))+XLOOKUP(R66,'平台参数'!$A$5:$A$9,'平台参数'!$H$5:$H$9,0))</x:f>
        <x:v>0</x:v>
      </x:c>
      <x:c r="V66" s="270" t="n">
        <x:f>IF(S66=0,0,S66*(1-XLOOKUP(T66,'平台参数'!$A$5:$A$9,'平台参数'!$F$5:$F$9,0)-XLOOKUP(T66,'平台参数'!$A$5:$A$9,'平台参数'!$G$5:$G$9,0))-XLOOKUP(T66,'平台参数'!$A$5:$A$9,'平台参数'!$I$5:$I$9,0))</x:f>
        <x:v>0</x:v>
      </x:c>
      <x:c r="W66" s="270" t="n">
        <x:f>V66-U66</x:f>
        <x:v>0</x:v>
      </x:c>
      <x:c r="X66" s="271" t="n">
        <x:f>IFERROR(W66/U66,0)</x:f>
        <x:v>0</x:v>
      </x:c>
      <x:c r="Y66" s="271" t="n">
        <x:f>IFERROR((S66-Q66)/Q66,0)</x:f>
        <x:v>0</x:v>
      </x:c>
      <x:c r="Z66" s="272"/>
      <x:c r="AA66" s="272"/>
      <x:c r="AB66" s="272"/>
      <x:c r="AC66" s="272" t="str">
        <x:f>IF(A66="","",ROUND((Z66+AA66)*10+X66*100-AB66*8,1))</x:f>
      </x:c>
      <x:c r="AD66" s="269"/>
      <x:c r="AE66" s="270" t="n">
        <x:f>IF(T66="",0,(S66*(1-XLOOKUP(T66,'平台参数'!$A$5:$A$9,'平台参数'!$F$5:$F$9,0)-XLOOKUP(T66,'平台参数'!$A$5:$A$9,'平台参数'!$G$5:$G$9,0))-XLOOKUP(T66,'平台参数'!$A$5:$A$9,'平台参数'!$I$5:$I$9,0))/1.18)</x:f>
        <x:v>0</x:v>
      </x:c>
      <x:c r="AF66" s="273" t="str">
        <x:f>IF(A66="","",IFERROR(MAX(_xlfn._xlws.FILTER('实时行情'!$H$5:$H$124,'实时行情'!$A$5:$A$124=A66)),TODAY()))</x:f>
      </x:c>
      <x:c r="AG66" s="274"/>
    </x:row>
    <x:row r="67">
      <x:c r="A67" s="268"/>
      <x:c r="B67" s="269"/>
      <x:c r="C67" s="269"/>
      <x:c r="D67" s="269"/>
      <x:c r="E67" s="269"/>
      <x:c r="F67" s="269"/>
      <x:c r="G67" s="270" t="n">
        <x:f>SUMIFS('实时行情'!$D$5:$D$124,'实时行情'!$A$5:$A$124,$A67,'实时行情'!$C$5:$C$124,"eBay")</x:f>
        <x:v>0</x:v>
      </x:c>
      <x:c r="H67" s="270" t="n">
        <x:f>SUMIFS('实时行情'!$D$5:$D$124,'实时行情'!$A$5:$A$124,$A67,'实时行情'!$C$5:$C$124,"ALT")</x:f>
        <x:v>0</x:v>
      </x:c>
      <x:c r="I67" s="270" t="n">
        <x:f>SUMIFS('实时行情'!$D$5:$D$124,'实时行情'!$A$5:$A$124,$A67,'实时行情'!$C$5:$C$124,"Card Hobby")</x:f>
        <x:v>0</x:v>
      </x:c>
      <x:c r="J67" s="270" t="n">
        <x:f>SUMIFS('实时行情'!$D$5:$D$124,'实时行情'!$A$5:$A$124,$A67,'实时行情'!$C$5:$C$124,"Fanatics Collect")</x:f>
        <x:v>0</x:v>
      </x:c>
      <x:c r="K67" s="270" t="n">
        <x:f>SUMIFS('实时行情'!$D$5:$D$124,'实时行情'!$A$5:$A$124,$A67,'实时行情'!$C$5:$C$124,"PokerColor")</x:f>
        <x:v>0</x:v>
      </x:c>
      <x:c r="L67" s="270" t="n">
        <x:f>SUMIFS('实时行情'!$E$5:$E$124,'实时行情'!$A$5:$A$124,$A67,'实时行情'!$C$5:$C$124,"eBay")</x:f>
        <x:v>0</x:v>
      </x:c>
      <x:c r="M67" s="270" t="n">
        <x:f>SUMIFS('实时行情'!$E$5:$E$124,'实时行情'!$A$5:$A$124,$A67,'实时行情'!$C$5:$C$124,"ALT")</x:f>
        <x:v>0</x:v>
      </x:c>
      <x:c r="N67" s="270" t="n">
        <x:f>SUMIFS('实时行情'!$E$5:$E$124,'实时行情'!$A$5:$A$124,$A67,'实时行情'!$C$5:$C$124,"Card Hobby")</x:f>
        <x:v>0</x:v>
      </x:c>
      <x:c r="O67" s="270" t="n">
        <x:f>SUMIFS('实时行情'!$E$5:$E$124,'实时行情'!$A$5:$A$124,$A67,'实时行情'!$C$5:$C$124,"Fanatics Collect")</x:f>
        <x:v>0</x:v>
      </x:c>
      <x:c r="P67" s="270" t="n">
        <x:f>SUMIFS('实时行情'!$E$5:$E$124,'实时行情'!$A$5:$A$124,$A67,'实时行情'!$C$5:$C$124,"PokerColor")</x:f>
        <x:v>0</x:v>
      </x:c>
      <x:c r="Q67" s="270" t="n">
        <x:f>IFERROR(MIN(_xlfn._xlws.FILTER(G67:K67,G67:K67&gt;0)),0)</x:f>
        <x:v>0</x:v>
      </x:c>
      <x:c r="R67" s="270" t="str">
        <x:f>IF(Q67=0,"",SUBSTITUTE(SUBSTITUTE(INDEX($G$4:$K$4,1,MATCH(Q67,G67:K67,0)),"买价",""),"Fanatics","Fanatics Collect"))</x:f>
      </x:c>
      <x:c r="S67" s="270" t="n">
        <x:f>IFERROR(MAX(_xlfn._xlws.FILTER(L67:P67,L67:P67&gt;0)),0)</x:f>
        <x:v>0</x:v>
      </x:c>
      <x:c r="T67" s="270" t="str">
        <x:f>IF(S67=0,"",SUBSTITUTE(SUBSTITUTE(INDEX($L$4:$P$4,1,MATCH(S67,L67:P67,0)),"卖价",""),"Fanatics","Fanatics Collect"))</x:f>
      </x:c>
      <x:c r="U67" s="270" t="n">
        <x:f>IF(Q67=0,0,Q67*(1+XLOOKUP(R67,'平台参数'!$A$5:$A$9,'平台参数'!$E$5:$E$9,0)+XLOOKUP(R67,'平台参数'!$A$5:$A$9,'平台参数'!$G$5:$G$9,0))+XLOOKUP(R67,'平台参数'!$A$5:$A$9,'平台参数'!$H$5:$H$9,0))</x:f>
        <x:v>0</x:v>
      </x:c>
      <x:c r="V67" s="270" t="n">
        <x:f>IF(S67=0,0,S67*(1-XLOOKUP(T67,'平台参数'!$A$5:$A$9,'平台参数'!$F$5:$F$9,0)-XLOOKUP(T67,'平台参数'!$A$5:$A$9,'平台参数'!$G$5:$G$9,0))-XLOOKUP(T67,'平台参数'!$A$5:$A$9,'平台参数'!$I$5:$I$9,0))</x:f>
        <x:v>0</x:v>
      </x:c>
      <x:c r="W67" s="270" t="n">
        <x:f>V67-U67</x:f>
        <x:v>0</x:v>
      </x:c>
      <x:c r="X67" s="271" t="n">
        <x:f>IFERROR(W67/U67,0)</x:f>
        <x:v>0</x:v>
      </x:c>
      <x:c r="Y67" s="271" t="n">
        <x:f>IFERROR((S67-Q67)/Q67,0)</x:f>
        <x:v>0</x:v>
      </x:c>
      <x:c r="Z67" s="272"/>
      <x:c r="AA67" s="272"/>
      <x:c r="AB67" s="272"/>
      <x:c r="AC67" s="272" t="str">
        <x:f>IF(A67="","",ROUND((Z67+AA67)*10+X67*100-AB67*8,1))</x:f>
      </x:c>
      <x:c r="AD67" s="269"/>
      <x:c r="AE67" s="270" t="n">
        <x:f>IF(T67="",0,(S67*(1-XLOOKUP(T67,'平台参数'!$A$5:$A$9,'平台参数'!$F$5:$F$9,0)-XLOOKUP(T67,'平台参数'!$A$5:$A$9,'平台参数'!$G$5:$G$9,0))-XLOOKUP(T67,'平台参数'!$A$5:$A$9,'平台参数'!$I$5:$I$9,0))/1.18)</x:f>
        <x:v>0</x:v>
      </x:c>
      <x:c r="AF67" s="273" t="str">
        <x:f>IF(A67="","",IFERROR(MAX(_xlfn._xlws.FILTER('实时行情'!$H$5:$H$124,'实时行情'!$A$5:$A$124=A67)),TODAY()))</x:f>
      </x:c>
      <x:c r="AG67" s="274"/>
    </x:row>
    <x:row r="68">
      <x:c r="A68" s="268"/>
      <x:c r="B68" s="269"/>
      <x:c r="C68" s="269"/>
      <x:c r="D68" s="269"/>
      <x:c r="E68" s="269"/>
      <x:c r="F68" s="269"/>
      <x:c r="G68" s="270" t="n">
        <x:f>SUMIFS('实时行情'!$D$5:$D$124,'实时行情'!$A$5:$A$124,$A68,'实时行情'!$C$5:$C$124,"eBay")</x:f>
        <x:v>0</x:v>
      </x:c>
      <x:c r="H68" s="270" t="n">
        <x:f>SUMIFS('实时行情'!$D$5:$D$124,'实时行情'!$A$5:$A$124,$A68,'实时行情'!$C$5:$C$124,"ALT")</x:f>
        <x:v>0</x:v>
      </x:c>
      <x:c r="I68" s="270" t="n">
        <x:f>SUMIFS('实时行情'!$D$5:$D$124,'实时行情'!$A$5:$A$124,$A68,'实时行情'!$C$5:$C$124,"Card Hobby")</x:f>
        <x:v>0</x:v>
      </x:c>
      <x:c r="J68" s="270" t="n">
        <x:f>SUMIFS('实时行情'!$D$5:$D$124,'实时行情'!$A$5:$A$124,$A68,'实时行情'!$C$5:$C$124,"Fanatics Collect")</x:f>
        <x:v>0</x:v>
      </x:c>
      <x:c r="K68" s="270" t="n">
        <x:f>SUMIFS('实时行情'!$D$5:$D$124,'实时行情'!$A$5:$A$124,$A68,'实时行情'!$C$5:$C$124,"PokerColor")</x:f>
        <x:v>0</x:v>
      </x:c>
      <x:c r="L68" s="270" t="n">
        <x:f>SUMIFS('实时行情'!$E$5:$E$124,'实时行情'!$A$5:$A$124,$A68,'实时行情'!$C$5:$C$124,"eBay")</x:f>
        <x:v>0</x:v>
      </x:c>
      <x:c r="M68" s="270" t="n">
        <x:f>SUMIFS('实时行情'!$E$5:$E$124,'实时行情'!$A$5:$A$124,$A68,'实时行情'!$C$5:$C$124,"ALT")</x:f>
        <x:v>0</x:v>
      </x:c>
      <x:c r="N68" s="270" t="n">
        <x:f>SUMIFS('实时行情'!$E$5:$E$124,'实时行情'!$A$5:$A$124,$A68,'实时行情'!$C$5:$C$124,"Card Hobby")</x:f>
        <x:v>0</x:v>
      </x:c>
      <x:c r="O68" s="270" t="n">
        <x:f>SUMIFS('实时行情'!$E$5:$E$124,'实时行情'!$A$5:$A$124,$A68,'实时行情'!$C$5:$C$124,"Fanatics Collect")</x:f>
        <x:v>0</x:v>
      </x:c>
      <x:c r="P68" s="270" t="n">
        <x:f>SUMIFS('实时行情'!$E$5:$E$124,'实时行情'!$A$5:$A$124,$A68,'实时行情'!$C$5:$C$124,"PokerColor")</x:f>
        <x:v>0</x:v>
      </x:c>
      <x:c r="Q68" s="270" t="n">
        <x:f>IFERROR(MIN(_xlfn._xlws.FILTER(G68:K68,G68:K68&gt;0)),0)</x:f>
        <x:v>0</x:v>
      </x:c>
      <x:c r="R68" s="270" t="str">
        <x:f>IF(Q68=0,"",SUBSTITUTE(SUBSTITUTE(INDEX($G$4:$K$4,1,MATCH(Q68,G68:K68,0)),"买价",""),"Fanatics","Fanatics Collect"))</x:f>
      </x:c>
      <x:c r="S68" s="270" t="n">
        <x:f>IFERROR(MAX(_xlfn._xlws.FILTER(L68:P68,L68:P68&gt;0)),0)</x:f>
        <x:v>0</x:v>
      </x:c>
      <x:c r="T68" s="270" t="str">
        <x:f>IF(S68=0,"",SUBSTITUTE(SUBSTITUTE(INDEX($L$4:$P$4,1,MATCH(S68,L68:P68,0)),"卖价",""),"Fanatics","Fanatics Collect"))</x:f>
      </x:c>
      <x:c r="U68" s="270" t="n">
        <x:f>IF(Q68=0,0,Q68*(1+XLOOKUP(R68,'平台参数'!$A$5:$A$9,'平台参数'!$E$5:$E$9,0)+XLOOKUP(R68,'平台参数'!$A$5:$A$9,'平台参数'!$G$5:$G$9,0))+XLOOKUP(R68,'平台参数'!$A$5:$A$9,'平台参数'!$H$5:$H$9,0))</x:f>
        <x:v>0</x:v>
      </x:c>
      <x:c r="V68" s="270" t="n">
        <x:f>IF(S68=0,0,S68*(1-XLOOKUP(T68,'平台参数'!$A$5:$A$9,'平台参数'!$F$5:$F$9,0)-XLOOKUP(T68,'平台参数'!$A$5:$A$9,'平台参数'!$G$5:$G$9,0))-XLOOKUP(T68,'平台参数'!$A$5:$A$9,'平台参数'!$I$5:$I$9,0))</x:f>
        <x:v>0</x:v>
      </x:c>
      <x:c r="W68" s="270" t="n">
        <x:f>V68-U68</x:f>
        <x:v>0</x:v>
      </x:c>
      <x:c r="X68" s="271" t="n">
        <x:f>IFERROR(W68/U68,0)</x:f>
        <x:v>0</x:v>
      </x:c>
      <x:c r="Y68" s="271" t="n">
        <x:f>IFERROR((S68-Q68)/Q68,0)</x:f>
        <x:v>0</x:v>
      </x:c>
      <x:c r="Z68" s="272"/>
      <x:c r="AA68" s="272"/>
      <x:c r="AB68" s="272"/>
      <x:c r="AC68" s="272" t="str">
        <x:f>IF(A68="","",ROUND((Z68+AA68)*10+X68*100-AB68*8,1))</x:f>
      </x:c>
      <x:c r="AD68" s="269"/>
      <x:c r="AE68" s="270" t="n">
        <x:f>IF(T68="",0,(S68*(1-XLOOKUP(T68,'平台参数'!$A$5:$A$9,'平台参数'!$F$5:$F$9,0)-XLOOKUP(T68,'平台参数'!$A$5:$A$9,'平台参数'!$G$5:$G$9,0))-XLOOKUP(T68,'平台参数'!$A$5:$A$9,'平台参数'!$I$5:$I$9,0))/1.18)</x:f>
        <x:v>0</x:v>
      </x:c>
      <x:c r="AF68" s="273" t="str">
        <x:f>IF(A68="","",IFERROR(MAX(_xlfn._xlws.FILTER('实时行情'!$H$5:$H$124,'实时行情'!$A$5:$A$124=A68)),TODAY()))</x:f>
      </x:c>
      <x:c r="AG68" s="274"/>
    </x:row>
    <x:row r="69">
      <x:c r="A69" s="268"/>
      <x:c r="B69" s="269"/>
      <x:c r="C69" s="269"/>
      <x:c r="D69" s="269"/>
      <x:c r="E69" s="269"/>
      <x:c r="F69" s="269"/>
      <x:c r="G69" s="270" t="n">
        <x:f>SUMIFS('实时行情'!$D$5:$D$124,'实时行情'!$A$5:$A$124,$A69,'实时行情'!$C$5:$C$124,"eBay")</x:f>
        <x:v>0</x:v>
      </x:c>
      <x:c r="H69" s="270" t="n">
        <x:f>SUMIFS('实时行情'!$D$5:$D$124,'实时行情'!$A$5:$A$124,$A69,'实时行情'!$C$5:$C$124,"ALT")</x:f>
        <x:v>0</x:v>
      </x:c>
      <x:c r="I69" s="270" t="n">
        <x:f>SUMIFS('实时行情'!$D$5:$D$124,'实时行情'!$A$5:$A$124,$A69,'实时行情'!$C$5:$C$124,"Card Hobby")</x:f>
        <x:v>0</x:v>
      </x:c>
      <x:c r="J69" s="270" t="n">
        <x:f>SUMIFS('实时行情'!$D$5:$D$124,'实时行情'!$A$5:$A$124,$A69,'实时行情'!$C$5:$C$124,"Fanatics Collect")</x:f>
        <x:v>0</x:v>
      </x:c>
      <x:c r="K69" s="270" t="n">
        <x:f>SUMIFS('实时行情'!$D$5:$D$124,'实时行情'!$A$5:$A$124,$A69,'实时行情'!$C$5:$C$124,"PokerColor")</x:f>
        <x:v>0</x:v>
      </x:c>
      <x:c r="L69" s="270" t="n">
        <x:f>SUMIFS('实时行情'!$E$5:$E$124,'实时行情'!$A$5:$A$124,$A69,'实时行情'!$C$5:$C$124,"eBay")</x:f>
        <x:v>0</x:v>
      </x:c>
      <x:c r="M69" s="270" t="n">
        <x:f>SUMIFS('实时行情'!$E$5:$E$124,'实时行情'!$A$5:$A$124,$A69,'实时行情'!$C$5:$C$124,"ALT")</x:f>
        <x:v>0</x:v>
      </x:c>
      <x:c r="N69" s="270" t="n">
        <x:f>SUMIFS('实时行情'!$E$5:$E$124,'实时行情'!$A$5:$A$124,$A69,'实时行情'!$C$5:$C$124,"Card Hobby")</x:f>
        <x:v>0</x:v>
      </x:c>
      <x:c r="O69" s="270" t="n">
        <x:f>SUMIFS('实时行情'!$E$5:$E$124,'实时行情'!$A$5:$A$124,$A69,'实时行情'!$C$5:$C$124,"Fanatics Collect")</x:f>
        <x:v>0</x:v>
      </x:c>
      <x:c r="P69" s="270" t="n">
        <x:f>SUMIFS('实时行情'!$E$5:$E$124,'实时行情'!$A$5:$A$124,$A69,'实时行情'!$C$5:$C$124,"PokerColor")</x:f>
        <x:v>0</x:v>
      </x:c>
      <x:c r="Q69" s="270" t="n">
        <x:f>IFERROR(MIN(_xlfn._xlws.FILTER(G69:K69,G69:K69&gt;0)),0)</x:f>
        <x:v>0</x:v>
      </x:c>
      <x:c r="R69" s="270" t="str">
        <x:f>IF(Q69=0,"",SUBSTITUTE(SUBSTITUTE(INDEX($G$4:$K$4,1,MATCH(Q69,G69:K69,0)),"买价",""),"Fanatics","Fanatics Collect"))</x:f>
      </x:c>
      <x:c r="S69" s="270" t="n">
        <x:f>IFERROR(MAX(_xlfn._xlws.FILTER(L69:P69,L69:P69&gt;0)),0)</x:f>
        <x:v>0</x:v>
      </x:c>
      <x:c r="T69" s="270" t="str">
        <x:f>IF(S69=0,"",SUBSTITUTE(SUBSTITUTE(INDEX($L$4:$P$4,1,MATCH(S69,L69:P69,0)),"卖价",""),"Fanatics","Fanatics Collect"))</x:f>
      </x:c>
      <x:c r="U69" s="270" t="n">
        <x:f>IF(Q69=0,0,Q69*(1+XLOOKUP(R69,'平台参数'!$A$5:$A$9,'平台参数'!$E$5:$E$9,0)+XLOOKUP(R69,'平台参数'!$A$5:$A$9,'平台参数'!$G$5:$G$9,0))+XLOOKUP(R69,'平台参数'!$A$5:$A$9,'平台参数'!$H$5:$H$9,0))</x:f>
        <x:v>0</x:v>
      </x:c>
      <x:c r="V69" s="270" t="n">
        <x:f>IF(S69=0,0,S69*(1-XLOOKUP(T69,'平台参数'!$A$5:$A$9,'平台参数'!$F$5:$F$9,0)-XLOOKUP(T69,'平台参数'!$A$5:$A$9,'平台参数'!$G$5:$G$9,0))-XLOOKUP(T69,'平台参数'!$A$5:$A$9,'平台参数'!$I$5:$I$9,0))</x:f>
        <x:v>0</x:v>
      </x:c>
      <x:c r="W69" s="270" t="n">
        <x:f>V69-U69</x:f>
        <x:v>0</x:v>
      </x:c>
      <x:c r="X69" s="271" t="n">
        <x:f>IFERROR(W69/U69,0)</x:f>
        <x:v>0</x:v>
      </x:c>
      <x:c r="Y69" s="271" t="n">
        <x:f>IFERROR((S69-Q69)/Q69,0)</x:f>
        <x:v>0</x:v>
      </x:c>
      <x:c r="Z69" s="272"/>
      <x:c r="AA69" s="272"/>
      <x:c r="AB69" s="272"/>
      <x:c r="AC69" s="272" t="str">
        <x:f>IF(A69="","",ROUND((Z69+AA69)*10+X69*100-AB69*8,1))</x:f>
      </x:c>
      <x:c r="AD69" s="269"/>
      <x:c r="AE69" s="270" t="n">
        <x:f>IF(T69="",0,(S69*(1-XLOOKUP(T69,'平台参数'!$A$5:$A$9,'平台参数'!$F$5:$F$9,0)-XLOOKUP(T69,'平台参数'!$A$5:$A$9,'平台参数'!$G$5:$G$9,0))-XLOOKUP(T69,'平台参数'!$A$5:$A$9,'平台参数'!$I$5:$I$9,0))/1.18)</x:f>
        <x:v>0</x:v>
      </x:c>
      <x:c r="AF69" s="273" t="str">
        <x:f>IF(A69="","",IFERROR(MAX(_xlfn._xlws.FILTER('实时行情'!$H$5:$H$124,'实时行情'!$A$5:$A$124=A69)),TODAY()))</x:f>
      </x:c>
      <x:c r="AG69" s="274"/>
    </x:row>
    <x:row r="70">
      <x:c r="A70" s="268"/>
      <x:c r="B70" s="269"/>
      <x:c r="C70" s="269"/>
      <x:c r="D70" s="269"/>
      <x:c r="E70" s="269"/>
      <x:c r="F70" s="269"/>
      <x:c r="G70" s="270" t="n">
        <x:f>SUMIFS('实时行情'!$D$5:$D$124,'实时行情'!$A$5:$A$124,$A70,'实时行情'!$C$5:$C$124,"eBay")</x:f>
        <x:v>0</x:v>
      </x:c>
      <x:c r="H70" s="270" t="n">
        <x:f>SUMIFS('实时行情'!$D$5:$D$124,'实时行情'!$A$5:$A$124,$A70,'实时行情'!$C$5:$C$124,"ALT")</x:f>
        <x:v>0</x:v>
      </x:c>
      <x:c r="I70" s="270" t="n">
        <x:f>SUMIFS('实时行情'!$D$5:$D$124,'实时行情'!$A$5:$A$124,$A70,'实时行情'!$C$5:$C$124,"Card Hobby")</x:f>
        <x:v>0</x:v>
      </x:c>
      <x:c r="J70" s="270" t="n">
        <x:f>SUMIFS('实时行情'!$D$5:$D$124,'实时行情'!$A$5:$A$124,$A70,'实时行情'!$C$5:$C$124,"Fanatics Collect")</x:f>
        <x:v>0</x:v>
      </x:c>
      <x:c r="K70" s="270" t="n">
        <x:f>SUMIFS('实时行情'!$D$5:$D$124,'实时行情'!$A$5:$A$124,$A70,'实时行情'!$C$5:$C$124,"PokerColor")</x:f>
        <x:v>0</x:v>
      </x:c>
      <x:c r="L70" s="270" t="n">
        <x:f>SUMIFS('实时行情'!$E$5:$E$124,'实时行情'!$A$5:$A$124,$A70,'实时行情'!$C$5:$C$124,"eBay")</x:f>
        <x:v>0</x:v>
      </x:c>
      <x:c r="M70" s="270" t="n">
        <x:f>SUMIFS('实时行情'!$E$5:$E$124,'实时行情'!$A$5:$A$124,$A70,'实时行情'!$C$5:$C$124,"ALT")</x:f>
        <x:v>0</x:v>
      </x:c>
      <x:c r="N70" s="270" t="n">
        <x:f>SUMIFS('实时行情'!$E$5:$E$124,'实时行情'!$A$5:$A$124,$A70,'实时行情'!$C$5:$C$124,"Card Hobby")</x:f>
        <x:v>0</x:v>
      </x:c>
      <x:c r="O70" s="270" t="n">
        <x:f>SUMIFS('实时行情'!$E$5:$E$124,'实时行情'!$A$5:$A$124,$A70,'实时行情'!$C$5:$C$124,"Fanatics Collect")</x:f>
        <x:v>0</x:v>
      </x:c>
      <x:c r="P70" s="270" t="n">
        <x:f>SUMIFS('实时行情'!$E$5:$E$124,'实时行情'!$A$5:$A$124,$A70,'实时行情'!$C$5:$C$124,"PokerColor")</x:f>
        <x:v>0</x:v>
      </x:c>
      <x:c r="Q70" s="270" t="n">
        <x:f>IFERROR(MIN(_xlfn._xlws.FILTER(G70:K70,G70:K70&gt;0)),0)</x:f>
        <x:v>0</x:v>
      </x:c>
      <x:c r="R70" s="270" t="str">
        <x:f>IF(Q70=0,"",SUBSTITUTE(SUBSTITUTE(INDEX($G$4:$K$4,1,MATCH(Q70,G70:K70,0)),"买价",""),"Fanatics","Fanatics Collect"))</x:f>
      </x:c>
      <x:c r="S70" s="270" t="n">
        <x:f>IFERROR(MAX(_xlfn._xlws.FILTER(L70:P70,L70:P70&gt;0)),0)</x:f>
        <x:v>0</x:v>
      </x:c>
      <x:c r="T70" s="270" t="str">
        <x:f>IF(S70=0,"",SUBSTITUTE(SUBSTITUTE(INDEX($L$4:$P$4,1,MATCH(S70,L70:P70,0)),"卖价",""),"Fanatics","Fanatics Collect"))</x:f>
      </x:c>
      <x:c r="U70" s="270" t="n">
        <x:f>IF(Q70=0,0,Q70*(1+XLOOKUP(R70,'平台参数'!$A$5:$A$9,'平台参数'!$E$5:$E$9,0)+XLOOKUP(R70,'平台参数'!$A$5:$A$9,'平台参数'!$G$5:$G$9,0))+XLOOKUP(R70,'平台参数'!$A$5:$A$9,'平台参数'!$H$5:$H$9,0))</x:f>
        <x:v>0</x:v>
      </x:c>
      <x:c r="V70" s="270" t="n">
        <x:f>IF(S70=0,0,S70*(1-XLOOKUP(T70,'平台参数'!$A$5:$A$9,'平台参数'!$F$5:$F$9,0)-XLOOKUP(T70,'平台参数'!$A$5:$A$9,'平台参数'!$G$5:$G$9,0))-XLOOKUP(T70,'平台参数'!$A$5:$A$9,'平台参数'!$I$5:$I$9,0))</x:f>
        <x:v>0</x:v>
      </x:c>
      <x:c r="W70" s="270" t="n">
        <x:f>V70-U70</x:f>
        <x:v>0</x:v>
      </x:c>
      <x:c r="X70" s="271" t="n">
        <x:f>IFERROR(W70/U70,0)</x:f>
        <x:v>0</x:v>
      </x:c>
      <x:c r="Y70" s="271" t="n">
        <x:f>IFERROR((S70-Q70)/Q70,0)</x:f>
        <x:v>0</x:v>
      </x:c>
      <x:c r="Z70" s="272"/>
      <x:c r="AA70" s="272"/>
      <x:c r="AB70" s="272"/>
      <x:c r="AC70" s="272" t="str">
        <x:f>IF(A70="","",ROUND((Z70+AA70)*10+X70*100-AB70*8,1))</x:f>
      </x:c>
      <x:c r="AD70" s="269"/>
      <x:c r="AE70" s="270" t="n">
        <x:f>IF(T70="",0,(S70*(1-XLOOKUP(T70,'平台参数'!$A$5:$A$9,'平台参数'!$F$5:$F$9,0)-XLOOKUP(T70,'平台参数'!$A$5:$A$9,'平台参数'!$G$5:$G$9,0))-XLOOKUP(T70,'平台参数'!$A$5:$A$9,'平台参数'!$I$5:$I$9,0))/1.18)</x:f>
        <x:v>0</x:v>
      </x:c>
      <x:c r="AF70" s="273" t="str">
        <x:f>IF(A70="","",IFERROR(MAX(_xlfn._xlws.FILTER('实时行情'!$H$5:$H$124,'实时行情'!$A$5:$A$124=A70)),TODAY()))</x:f>
      </x:c>
      <x:c r="AG70" s="274"/>
    </x:row>
    <x:row r="71">
      <x:c r="A71" s="268"/>
      <x:c r="B71" s="269"/>
      <x:c r="C71" s="269"/>
      <x:c r="D71" s="269"/>
      <x:c r="E71" s="269"/>
      <x:c r="F71" s="269"/>
      <x:c r="G71" s="270" t="n">
        <x:f>SUMIFS('实时行情'!$D$5:$D$124,'实时行情'!$A$5:$A$124,$A71,'实时行情'!$C$5:$C$124,"eBay")</x:f>
        <x:v>0</x:v>
      </x:c>
      <x:c r="H71" s="270" t="n">
        <x:f>SUMIFS('实时行情'!$D$5:$D$124,'实时行情'!$A$5:$A$124,$A71,'实时行情'!$C$5:$C$124,"ALT")</x:f>
        <x:v>0</x:v>
      </x:c>
      <x:c r="I71" s="270" t="n">
        <x:f>SUMIFS('实时行情'!$D$5:$D$124,'实时行情'!$A$5:$A$124,$A71,'实时行情'!$C$5:$C$124,"Card Hobby")</x:f>
        <x:v>0</x:v>
      </x:c>
      <x:c r="J71" s="270" t="n">
        <x:f>SUMIFS('实时行情'!$D$5:$D$124,'实时行情'!$A$5:$A$124,$A71,'实时行情'!$C$5:$C$124,"Fanatics Collect")</x:f>
        <x:v>0</x:v>
      </x:c>
      <x:c r="K71" s="270" t="n">
        <x:f>SUMIFS('实时行情'!$D$5:$D$124,'实时行情'!$A$5:$A$124,$A71,'实时行情'!$C$5:$C$124,"PokerColor")</x:f>
        <x:v>0</x:v>
      </x:c>
      <x:c r="L71" s="270" t="n">
        <x:f>SUMIFS('实时行情'!$E$5:$E$124,'实时行情'!$A$5:$A$124,$A71,'实时行情'!$C$5:$C$124,"eBay")</x:f>
        <x:v>0</x:v>
      </x:c>
      <x:c r="M71" s="270" t="n">
        <x:f>SUMIFS('实时行情'!$E$5:$E$124,'实时行情'!$A$5:$A$124,$A71,'实时行情'!$C$5:$C$124,"ALT")</x:f>
        <x:v>0</x:v>
      </x:c>
      <x:c r="N71" s="270" t="n">
        <x:f>SUMIFS('实时行情'!$E$5:$E$124,'实时行情'!$A$5:$A$124,$A71,'实时行情'!$C$5:$C$124,"Card Hobby")</x:f>
        <x:v>0</x:v>
      </x:c>
      <x:c r="O71" s="270" t="n">
        <x:f>SUMIFS('实时行情'!$E$5:$E$124,'实时行情'!$A$5:$A$124,$A71,'实时行情'!$C$5:$C$124,"Fanatics Collect")</x:f>
        <x:v>0</x:v>
      </x:c>
      <x:c r="P71" s="270" t="n">
        <x:f>SUMIFS('实时行情'!$E$5:$E$124,'实时行情'!$A$5:$A$124,$A71,'实时行情'!$C$5:$C$124,"PokerColor")</x:f>
        <x:v>0</x:v>
      </x:c>
      <x:c r="Q71" s="270" t="n">
        <x:f>IFERROR(MIN(_xlfn._xlws.FILTER(G71:K71,G71:K71&gt;0)),0)</x:f>
        <x:v>0</x:v>
      </x:c>
      <x:c r="R71" s="270" t="str">
        <x:f>IF(Q71=0,"",SUBSTITUTE(SUBSTITUTE(INDEX($G$4:$K$4,1,MATCH(Q71,G71:K71,0)),"买价",""),"Fanatics","Fanatics Collect"))</x:f>
      </x:c>
      <x:c r="S71" s="270" t="n">
        <x:f>IFERROR(MAX(_xlfn._xlws.FILTER(L71:P71,L71:P71&gt;0)),0)</x:f>
        <x:v>0</x:v>
      </x:c>
      <x:c r="T71" s="270" t="str">
        <x:f>IF(S71=0,"",SUBSTITUTE(SUBSTITUTE(INDEX($L$4:$P$4,1,MATCH(S71,L71:P71,0)),"卖价",""),"Fanatics","Fanatics Collect"))</x:f>
      </x:c>
      <x:c r="U71" s="270" t="n">
        <x:f>IF(Q71=0,0,Q71*(1+XLOOKUP(R71,'平台参数'!$A$5:$A$9,'平台参数'!$E$5:$E$9,0)+XLOOKUP(R71,'平台参数'!$A$5:$A$9,'平台参数'!$G$5:$G$9,0))+XLOOKUP(R71,'平台参数'!$A$5:$A$9,'平台参数'!$H$5:$H$9,0))</x:f>
        <x:v>0</x:v>
      </x:c>
      <x:c r="V71" s="270" t="n">
        <x:f>IF(S71=0,0,S71*(1-XLOOKUP(T71,'平台参数'!$A$5:$A$9,'平台参数'!$F$5:$F$9,0)-XLOOKUP(T71,'平台参数'!$A$5:$A$9,'平台参数'!$G$5:$G$9,0))-XLOOKUP(T71,'平台参数'!$A$5:$A$9,'平台参数'!$I$5:$I$9,0))</x:f>
        <x:v>0</x:v>
      </x:c>
      <x:c r="W71" s="270" t="n">
        <x:f>V71-U71</x:f>
        <x:v>0</x:v>
      </x:c>
      <x:c r="X71" s="271" t="n">
        <x:f>IFERROR(W71/U71,0)</x:f>
        <x:v>0</x:v>
      </x:c>
      <x:c r="Y71" s="271" t="n">
        <x:f>IFERROR((S71-Q71)/Q71,0)</x:f>
        <x:v>0</x:v>
      </x:c>
      <x:c r="Z71" s="272"/>
      <x:c r="AA71" s="272"/>
      <x:c r="AB71" s="272"/>
      <x:c r="AC71" s="272" t="str">
        <x:f>IF(A71="","",ROUND((Z71+AA71)*10+X71*100-AB71*8,1))</x:f>
      </x:c>
      <x:c r="AD71" s="269"/>
      <x:c r="AE71" s="270" t="n">
        <x:f>IF(T71="",0,(S71*(1-XLOOKUP(T71,'平台参数'!$A$5:$A$9,'平台参数'!$F$5:$F$9,0)-XLOOKUP(T71,'平台参数'!$A$5:$A$9,'平台参数'!$G$5:$G$9,0))-XLOOKUP(T71,'平台参数'!$A$5:$A$9,'平台参数'!$I$5:$I$9,0))/1.18)</x:f>
        <x:v>0</x:v>
      </x:c>
      <x:c r="AF71" s="273" t="str">
        <x:f>IF(A71="","",IFERROR(MAX(_xlfn._xlws.FILTER('实时行情'!$H$5:$H$124,'实时行情'!$A$5:$A$124=A71)),TODAY()))</x:f>
      </x:c>
      <x:c r="AG71" s="274"/>
    </x:row>
    <x:row r="72">
      <x:c r="A72" s="268"/>
      <x:c r="B72" s="269"/>
      <x:c r="C72" s="269"/>
      <x:c r="D72" s="269"/>
      <x:c r="E72" s="269"/>
      <x:c r="F72" s="269"/>
      <x:c r="G72" s="270" t="n">
        <x:f>SUMIFS('实时行情'!$D$5:$D$124,'实时行情'!$A$5:$A$124,$A72,'实时行情'!$C$5:$C$124,"eBay")</x:f>
        <x:v>0</x:v>
      </x:c>
      <x:c r="H72" s="270" t="n">
        <x:f>SUMIFS('实时行情'!$D$5:$D$124,'实时行情'!$A$5:$A$124,$A72,'实时行情'!$C$5:$C$124,"ALT")</x:f>
        <x:v>0</x:v>
      </x:c>
      <x:c r="I72" s="270" t="n">
        <x:f>SUMIFS('实时行情'!$D$5:$D$124,'实时行情'!$A$5:$A$124,$A72,'实时行情'!$C$5:$C$124,"Card Hobby")</x:f>
        <x:v>0</x:v>
      </x:c>
      <x:c r="J72" s="270" t="n">
        <x:f>SUMIFS('实时行情'!$D$5:$D$124,'实时行情'!$A$5:$A$124,$A72,'实时行情'!$C$5:$C$124,"Fanatics Collect")</x:f>
        <x:v>0</x:v>
      </x:c>
      <x:c r="K72" s="270" t="n">
        <x:f>SUMIFS('实时行情'!$D$5:$D$124,'实时行情'!$A$5:$A$124,$A72,'实时行情'!$C$5:$C$124,"PokerColor")</x:f>
        <x:v>0</x:v>
      </x:c>
      <x:c r="L72" s="270" t="n">
        <x:f>SUMIFS('实时行情'!$E$5:$E$124,'实时行情'!$A$5:$A$124,$A72,'实时行情'!$C$5:$C$124,"eBay")</x:f>
        <x:v>0</x:v>
      </x:c>
      <x:c r="M72" s="270" t="n">
        <x:f>SUMIFS('实时行情'!$E$5:$E$124,'实时行情'!$A$5:$A$124,$A72,'实时行情'!$C$5:$C$124,"ALT")</x:f>
        <x:v>0</x:v>
      </x:c>
      <x:c r="N72" s="270" t="n">
        <x:f>SUMIFS('实时行情'!$E$5:$E$124,'实时行情'!$A$5:$A$124,$A72,'实时行情'!$C$5:$C$124,"Card Hobby")</x:f>
        <x:v>0</x:v>
      </x:c>
      <x:c r="O72" s="270" t="n">
        <x:f>SUMIFS('实时行情'!$E$5:$E$124,'实时行情'!$A$5:$A$124,$A72,'实时行情'!$C$5:$C$124,"Fanatics Collect")</x:f>
        <x:v>0</x:v>
      </x:c>
      <x:c r="P72" s="270" t="n">
        <x:f>SUMIFS('实时行情'!$E$5:$E$124,'实时行情'!$A$5:$A$124,$A72,'实时行情'!$C$5:$C$124,"PokerColor")</x:f>
        <x:v>0</x:v>
      </x:c>
      <x:c r="Q72" s="270" t="n">
        <x:f>IFERROR(MIN(_xlfn._xlws.FILTER(G72:K72,G72:K72&gt;0)),0)</x:f>
        <x:v>0</x:v>
      </x:c>
      <x:c r="R72" s="270" t="str">
        <x:f>IF(Q72=0,"",SUBSTITUTE(SUBSTITUTE(INDEX($G$4:$K$4,1,MATCH(Q72,G72:K72,0)),"买价",""),"Fanatics","Fanatics Collect"))</x:f>
      </x:c>
      <x:c r="S72" s="270" t="n">
        <x:f>IFERROR(MAX(_xlfn._xlws.FILTER(L72:P72,L72:P72&gt;0)),0)</x:f>
        <x:v>0</x:v>
      </x:c>
      <x:c r="T72" s="270" t="str">
        <x:f>IF(S72=0,"",SUBSTITUTE(SUBSTITUTE(INDEX($L$4:$P$4,1,MATCH(S72,L72:P72,0)),"卖价",""),"Fanatics","Fanatics Collect"))</x:f>
      </x:c>
      <x:c r="U72" s="270" t="n">
        <x:f>IF(Q72=0,0,Q72*(1+XLOOKUP(R72,'平台参数'!$A$5:$A$9,'平台参数'!$E$5:$E$9,0)+XLOOKUP(R72,'平台参数'!$A$5:$A$9,'平台参数'!$G$5:$G$9,0))+XLOOKUP(R72,'平台参数'!$A$5:$A$9,'平台参数'!$H$5:$H$9,0))</x:f>
        <x:v>0</x:v>
      </x:c>
      <x:c r="V72" s="270" t="n">
        <x:f>IF(S72=0,0,S72*(1-XLOOKUP(T72,'平台参数'!$A$5:$A$9,'平台参数'!$F$5:$F$9,0)-XLOOKUP(T72,'平台参数'!$A$5:$A$9,'平台参数'!$G$5:$G$9,0))-XLOOKUP(T72,'平台参数'!$A$5:$A$9,'平台参数'!$I$5:$I$9,0))</x:f>
        <x:v>0</x:v>
      </x:c>
      <x:c r="W72" s="270" t="n">
        <x:f>V72-U72</x:f>
        <x:v>0</x:v>
      </x:c>
      <x:c r="X72" s="271" t="n">
        <x:f>IFERROR(W72/U72,0)</x:f>
        <x:v>0</x:v>
      </x:c>
      <x:c r="Y72" s="271" t="n">
        <x:f>IFERROR((S72-Q72)/Q72,0)</x:f>
        <x:v>0</x:v>
      </x:c>
      <x:c r="Z72" s="272"/>
      <x:c r="AA72" s="272"/>
      <x:c r="AB72" s="272"/>
      <x:c r="AC72" s="272" t="str">
        <x:f>IF(A72="","",ROUND((Z72+AA72)*10+X72*100-AB72*8,1))</x:f>
      </x:c>
      <x:c r="AD72" s="269"/>
      <x:c r="AE72" s="270" t="n">
        <x:f>IF(T72="",0,(S72*(1-XLOOKUP(T72,'平台参数'!$A$5:$A$9,'平台参数'!$F$5:$F$9,0)-XLOOKUP(T72,'平台参数'!$A$5:$A$9,'平台参数'!$G$5:$G$9,0))-XLOOKUP(T72,'平台参数'!$A$5:$A$9,'平台参数'!$I$5:$I$9,0))/1.18)</x:f>
        <x:v>0</x:v>
      </x:c>
      <x:c r="AF72" s="273" t="str">
        <x:f>IF(A72="","",IFERROR(MAX(_xlfn._xlws.FILTER('实时行情'!$H$5:$H$124,'实时行情'!$A$5:$A$124=A72)),TODAY()))</x:f>
      </x:c>
      <x:c r="AG72" s="274"/>
    </x:row>
    <x:row r="73">
      <x:c r="A73" s="268"/>
      <x:c r="B73" s="269"/>
      <x:c r="C73" s="269"/>
      <x:c r="D73" s="269"/>
      <x:c r="E73" s="269"/>
      <x:c r="F73" s="269"/>
      <x:c r="G73" s="270" t="n">
        <x:f>SUMIFS('实时行情'!$D$5:$D$124,'实时行情'!$A$5:$A$124,$A73,'实时行情'!$C$5:$C$124,"eBay")</x:f>
        <x:v>0</x:v>
      </x:c>
      <x:c r="H73" s="270" t="n">
        <x:f>SUMIFS('实时行情'!$D$5:$D$124,'实时行情'!$A$5:$A$124,$A73,'实时行情'!$C$5:$C$124,"ALT")</x:f>
        <x:v>0</x:v>
      </x:c>
      <x:c r="I73" s="270" t="n">
        <x:f>SUMIFS('实时行情'!$D$5:$D$124,'实时行情'!$A$5:$A$124,$A73,'实时行情'!$C$5:$C$124,"Card Hobby")</x:f>
        <x:v>0</x:v>
      </x:c>
      <x:c r="J73" s="270" t="n">
        <x:f>SUMIFS('实时行情'!$D$5:$D$124,'实时行情'!$A$5:$A$124,$A73,'实时行情'!$C$5:$C$124,"Fanatics Collect")</x:f>
        <x:v>0</x:v>
      </x:c>
      <x:c r="K73" s="270" t="n">
        <x:f>SUMIFS('实时行情'!$D$5:$D$124,'实时行情'!$A$5:$A$124,$A73,'实时行情'!$C$5:$C$124,"PokerColor")</x:f>
        <x:v>0</x:v>
      </x:c>
      <x:c r="L73" s="270" t="n">
        <x:f>SUMIFS('实时行情'!$E$5:$E$124,'实时行情'!$A$5:$A$124,$A73,'实时行情'!$C$5:$C$124,"eBay")</x:f>
        <x:v>0</x:v>
      </x:c>
      <x:c r="M73" s="270" t="n">
        <x:f>SUMIFS('实时行情'!$E$5:$E$124,'实时行情'!$A$5:$A$124,$A73,'实时行情'!$C$5:$C$124,"ALT")</x:f>
        <x:v>0</x:v>
      </x:c>
      <x:c r="N73" s="270" t="n">
        <x:f>SUMIFS('实时行情'!$E$5:$E$124,'实时行情'!$A$5:$A$124,$A73,'实时行情'!$C$5:$C$124,"Card Hobby")</x:f>
        <x:v>0</x:v>
      </x:c>
      <x:c r="O73" s="270" t="n">
        <x:f>SUMIFS('实时行情'!$E$5:$E$124,'实时行情'!$A$5:$A$124,$A73,'实时行情'!$C$5:$C$124,"Fanatics Collect")</x:f>
        <x:v>0</x:v>
      </x:c>
      <x:c r="P73" s="270" t="n">
        <x:f>SUMIFS('实时行情'!$E$5:$E$124,'实时行情'!$A$5:$A$124,$A73,'实时行情'!$C$5:$C$124,"PokerColor")</x:f>
        <x:v>0</x:v>
      </x:c>
      <x:c r="Q73" s="270" t="n">
        <x:f>IFERROR(MIN(_xlfn._xlws.FILTER(G73:K73,G73:K73&gt;0)),0)</x:f>
        <x:v>0</x:v>
      </x:c>
      <x:c r="R73" s="270" t="str">
        <x:f>IF(Q73=0,"",SUBSTITUTE(SUBSTITUTE(INDEX($G$4:$K$4,1,MATCH(Q73,G73:K73,0)),"买价",""),"Fanatics","Fanatics Collect"))</x:f>
      </x:c>
      <x:c r="S73" s="270" t="n">
        <x:f>IFERROR(MAX(_xlfn._xlws.FILTER(L73:P73,L73:P73&gt;0)),0)</x:f>
        <x:v>0</x:v>
      </x:c>
      <x:c r="T73" s="270" t="str">
        <x:f>IF(S73=0,"",SUBSTITUTE(SUBSTITUTE(INDEX($L$4:$P$4,1,MATCH(S73,L73:P73,0)),"卖价",""),"Fanatics","Fanatics Collect"))</x:f>
      </x:c>
      <x:c r="U73" s="270" t="n">
        <x:f>IF(Q73=0,0,Q73*(1+XLOOKUP(R73,'平台参数'!$A$5:$A$9,'平台参数'!$E$5:$E$9,0)+XLOOKUP(R73,'平台参数'!$A$5:$A$9,'平台参数'!$G$5:$G$9,0))+XLOOKUP(R73,'平台参数'!$A$5:$A$9,'平台参数'!$H$5:$H$9,0))</x:f>
        <x:v>0</x:v>
      </x:c>
      <x:c r="V73" s="270" t="n">
        <x:f>IF(S73=0,0,S73*(1-XLOOKUP(T73,'平台参数'!$A$5:$A$9,'平台参数'!$F$5:$F$9,0)-XLOOKUP(T73,'平台参数'!$A$5:$A$9,'平台参数'!$G$5:$G$9,0))-XLOOKUP(T73,'平台参数'!$A$5:$A$9,'平台参数'!$I$5:$I$9,0))</x:f>
        <x:v>0</x:v>
      </x:c>
      <x:c r="W73" s="270" t="n">
        <x:f>V73-U73</x:f>
        <x:v>0</x:v>
      </x:c>
      <x:c r="X73" s="271" t="n">
        <x:f>IFERROR(W73/U73,0)</x:f>
        <x:v>0</x:v>
      </x:c>
      <x:c r="Y73" s="271" t="n">
        <x:f>IFERROR((S73-Q73)/Q73,0)</x:f>
        <x:v>0</x:v>
      </x:c>
      <x:c r="Z73" s="272"/>
      <x:c r="AA73" s="272"/>
      <x:c r="AB73" s="272"/>
      <x:c r="AC73" s="272" t="str">
        <x:f>IF(A73="","",ROUND((Z73+AA73)*10+X73*100-AB73*8,1))</x:f>
      </x:c>
      <x:c r="AD73" s="269"/>
      <x:c r="AE73" s="270" t="n">
        <x:f>IF(T73="",0,(S73*(1-XLOOKUP(T73,'平台参数'!$A$5:$A$9,'平台参数'!$F$5:$F$9,0)-XLOOKUP(T73,'平台参数'!$A$5:$A$9,'平台参数'!$G$5:$G$9,0))-XLOOKUP(T73,'平台参数'!$A$5:$A$9,'平台参数'!$I$5:$I$9,0))/1.18)</x:f>
        <x:v>0</x:v>
      </x:c>
      <x:c r="AF73" s="273" t="str">
        <x:f>IF(A73="","",IFERROR(MAX(_xlfn._xlws.FILTER('实时行情'!$H$5:$H$124,'实时行情'!$A$5:$A$124=A73)),TODAY()))</x:f>
      </x:c>
      <x:c r="AG73" s="274"/>
    </x:row>
    <x:row r="74">
      <x:c r="A74" s="268"/>
      <x:c r="B74" s="269"/>
      <x:c r="C74" s="269"/>
      <x:c r="D74" s="269"/>
      <x:c r="E74" s="269"/>
      <x:c r="F74" s="269"/>
      <x:c r="G74" s="270" t="n">
        <x:f>SUMIFS('实时行情'!$D$5:$D$124,'实时行情'!$A$5:$A$124,$A74,'实时行情'!$C$5:$C$124,"eBay")</x:f>
        <x:v>0</x:v>
      </x:c>
      <x:c r="H74" s="270" t="n">
        <x:f>SUMIFS('实时行情'!$D$5:$D$124,'实时行情'!$A$5:$A$124,$A74,'实时行情'!$C$5:$C$124,"ALT")</x:f>
        <x:v>0</x:v>
      </x:c>
      <x:c r="I74" s="270" t="n">
        <x:f>SUMIFS('实时行情'!$D$5:$D$124,'实时行情'!$A$5:$A$124,$A74,'实时行情'!$C$5:$C$124,"Card Hobby")</x:f>
        <x:v>0</x:v>
      </x:c>
      <x:c r="J74" s="270" t="n">
        <x:f>SUMIFS('实时行情'!$D$5:$D$124,'实时行情'!$A$5:$A$124,$A74,'实时行情'!$C$5:$C$124,"Fanatics Collect")</x:f>
        <x:v>0</x:v>
      </x:c>
      <x:c r="K74" s="270" t="n">
        <x:f>SUMIFS('实时行情'!$D$5:$D$124,'实时行情'!$A$5:$A$124,$A74,'实时行情'!$C$5:$C$124,"PokerColor")</x:f>
        <x:v>0</x:v>
      </x:c>
      <x:c r="L74" s="270" t="n">
        <x:f>SUMIFS('实时行情'!$E$5:$E$124,'实时行情'!$A$5:$A$124,$A74,'实时行情'!$C$5:$C$124,"eBay")</x:f>
        <x:v>0</x:v>
      </x:c>
      <x:c r="M74" s="270" t="n">
        <x:f>SUMIFS('实时行情'!$E$5:$E$124,'实时行情'!$A$5:$A$124,$A74,'实时行情'!$C$5:$C$124,"ALT")</x:f>
        <x:v>0</x:v>
      </x:c>
      <x:c r="N74" s="270" t="n">
        <x:f>SUMIFS('实时行情'!$E$5:$E$124,'实时行情'!$A$5:$A$124,$A74,'实时行情'!$C$5:$C$124,"Card Hobby")</x:f>
        <x:v>0</x:v>
      </x:c>
      <x:c r="O74" s="270" t="n">
        <x:f>SUMIFS('实时行情'!$E$5:$E$124,'实时行情'!$A$5:$A$124,$A74,'实时行情'!$C$5:$C$124,"Fanatics Collect")</x:f>
        <x:v>0</x:v>
      </x:c>
      <x:c r="P74" s="270" t="n">
        <x:f>SUMIFS('实时行情'!$E$5:$E$124,'实时行情'!$A$5:$A$124,$A74,'实时行情'!$C$5:$C$124,"PokerColor")</x:f>
        <x:v>0</x:v>
      </x:c>
      <x:c r="Q74" s="270" t="n">
        <x:f>IFERROR(MIN(_xlfn._xlws.FILTER(G74:K74,G74:K74&gt;0)),0)</x:f>
        <x:v>0</x:v>
      </x:c>
      <x:c r="R74" s="270" t="str">
        <x:f>IF(Q74=0,"",SUBSTITUTE(SUBSTITUTE(INDEX($G$4:$K$4,1,MATCH(Q74,G74:K74,0)),"买价",""),"Fanatics","Fanatics Collect"))</x:f>
      </x:c>
      <x:c r="S74" s="270" t="n">
        <x:f>IFERROR(MAX(_xlfn._xlws.FILTER(L74:P74,L74:P74&gt;0)),0)</x:f>
        <x:v>0</x:v>
      </x:c>
      <x:c r="T74" s="270" t="str">
        <x:f>IF(S74=0,"",SUBSTITUTE(SUBSTITUTE(INDEX($L$4:$P$4,1,MATCH(S74,L74:P74,0)),"卖价",""),"Fanatics","Fanatics Collect"))</x:f>
      </x:c>
      <x:c r="U74" s="270" t="n">
        <x:f>IF(Q74=0,0,Q74*(1+XLOOKUP(R74,'平台参数'!$A$5:$A$9,'平台参数'!$E$5:$E$9,0)+XLOOKUP(R74,'平台参数'!$A$5:$A$9,'平台参数'!$G$5:$G$9,0))+XLOOKUP(R74,'平台参数'!$A$5:$A$9,'平台参数'!$H$5:$H$9,0))</x:f>
        <x:v>0</x:v>
      </x:c>
      <x:c r="V74" s="270" t="n">
        <x:f>IF(S74=0,0,S74*(1-XLOOKUP(T74,'平台参数'!$A$5:$A$9,'平台参数'!$F$5:$F$9,0)-XLOOKUP(T74,'平台参数'!$A$5:$A$9,'平台参数'!$G$5:$G$9,0))-XLOOKUP(T74,'平台参数'!$A$5:$A$9,'平台参数'!$I$5:$I$9,0))</x:f>
        <x:v>0</x:v>
      </x:c>
      <x:c r="W74" s="270" t="n">
        <x:f>V74-U74</x:f>
        <x:v>0</x:v>
      </x:c>
      <x:c r="X74" s="271" t="n">
        <x:f>IFERROR(W74/U74,0)</x:f>
        <x:v>0</x:v>
      </x:c>
      <x:c r="Y74" s="271" t="n">
        <x:f>IFERROR((S74-Q74)/Q74,0)</x:f>
        <x:v>0</x:v>
      </x:c>
      <x:c r="Z74" s="272"/>
      <x:c r="AA74" s="272"/>
      <x:c r="AB74" s="272"/>
      <x:c r="AC74" s="272" t="str">
        <x:f>IF(A74="","",ROUND((Z74+AA74)*10+X74*100-AB74*8,1))</x:f>
      </x:c>
      <x:c r="AD74" s="269"/>
      <x:c r="AE74" s="270" t="n">
        <x:f>IF(T74="",0,(S74*(1-XLOOKUP(T74,'平台参数'!$A$5:$A$9,'平台参数'!$F$5:$F$9,0)-XLOOKUP(T74,'平台参数'!$A$5:$A$9,'平台参数'!$G$5:$G$9,0))-XLOOKUP(T74,'平台参数'!$A$5:$A$9,'平台参数'!$I$5:$I$9,0))/1.18)</x:f>
        <x:v>0</x:v>
      </x:c>
      <x:c r="AF74" s="273" t="str">
        <x:f>IF(A74="","",IFERROR(MAX(_xlfn._xlws.FILTER('实时行情'!$H$5:$H$124,'实时行情'!$A$5:$A$124=A74)),TODAY()))</x:f>
      </x:c>
      <x:c r="AG74" s="274"/>
    </x:row>
    <x:row r="75">
      <x:c r="A75" s="268"/>
      <x:c r="B75" s="269"/>
      <x:c r="C75" s="269"/>
      <x:c r="D75" s="269"/>
      <x:c r="E75" s="269"/>
      <x:c r="F75" s="269"/>
      <x:c r="G75" s="270" t="n">
        <x:f>SUMIFS('实时行情'!$D$5:$D$124,'实时行情'!$A$5:$A$124,$A75,'实时行情'!$C$5:$C$124,"eBay")</x:f>
        <x:v>0</x:v>
      </x:c>
      <x:c r="H75" s="270" t="n">
        <x:f>SUMIFS('实时行情'!$D$5:$D$124,'实时行情'!$A$5:$A$124,$A75,'实时行情'!$C$5:$C$124,"ALT")</x:f>
        <x:v>0</x:v>
      </x:c>
      <x:c r="I75" s="270" t="n">
        <x:f>SUMIFS('实时行情'!$D$5:$D$124,'实时行情'!$A$5:$A$124,$A75,'实时行情'!$C$5:$C$124,"Card Hobby")</x:f>
        <x:v>0</x:v>
      </x:c>
      <x:c r="J75" s="270" t="n">
        <x:f>SUMIFS('实时行情'!$D$5:$D$124,'实时行情'!$A$5:$A$124,$A75,'实时行情'!$C$5:$C$124,"Fanatics Collect")</x:f>
        <x:v>0</x:v>
      </x:c>
      <x:c r="K75" s="270" t="n">
        <x:f>SUMIFS('实时行情'!$D$5:$D$124,'实时行情'!$A$5:$A$124,$A75,'实时行情'!$C$5:$C$124,"PokerColor")</x:f>
        <x:v>0</x:v>
      </x:c>
      <x:c r="L75" s="270" t="n">
        <x:f>SUMIFS('实时行情'!$E$5:$E$124,'实时行情'!$A$5:$A$124,$A75,'实时行情'!$C$5:$C$124,"eBay")</x:f>
        <x:v>0</x:v>
      </x:c>
      <x:c r="M75" s="270" t="n">
        <x:f>SUMIFS('实时行情'!$E$5:$E$124,'实时行情'!$A$5:$A$124,$A75,'实时行情'!$C$5:$C$124,"ALT")</x:f>
        <x:v>0</x:v>
      </x:c>
      <x:c r="N75" s="270" t="n">
        <x:f>SUMIFS('实时行情'!$E$5:$E$124,'实时行情'!$A$5:$A$124,$A75,'实时行情'!$C$5:$C$124,"Card Hobby")</x:f>
        <x:v>0</x:v>
      </x:c>
      <x:c r="O75" s="270" t="n">
        <x:f>SUMIFS('实时行情'!$E$5:$E$124,'实时行情'!$A$5:$A$124,$A75,'实时行情'!$C$5:$C$124,"Fanatics Collect")</x:f>
        <x:v>0</x:v>
      </x:c>
      <x:c r="P75" s="270" t="n">
        <x:f>SUMIFS('实时行情'!$E$5:$E$124,'实时行情'!$A$5:$A$124,$A75,'实时行情'!$C$5:$C$124,"PokerColor")</x:f>
        <x:v>0</x:v>
      </x:c>
      <x:c r="Q75" s="270" t="n">
        <x:f>IFERROR(MIN(_xlfn._xlws.FILTER(G75:K75,G75:K75&gt;0)),0)</x:f>
        <x:v>0</x:v>
      </x:c>
      <x:c r="R75" s="270" t="str">
        <x:f>IF(Q75=0,"",SUBSTITUTE(SUBSTITUTE(INDEX($G$4:$K$4,1,MATCH(Q75,G75:K75,0)),"买价",""),"Fanatics","Fanatics Collect"))</x:f>
      </x:c>
      <x:c r="S75" s="270" t="n">
        <x:f>IFERROR(MAX(_xlfn._xlws.FILTER(L75:P75,L75:P75&gt;0)),0)</x:f>
        <x:v>0</x:v>
      </x:c>
      <x:c r="T75" s="270" t="str">
        <x:f>IF(S75=0,"",SUBSTITUTE(SUBSTITUTE(INDEX($L$4:$P$4,1,MATCH(S75,L75:P75,0)),"卖价",""),"Fanatics","Fanatics Collect"))</x:f>
      </x:c>
      <x:c r="U75" s="270" t="n">
        <x:f>IF(Q75=0,0,Q75*(1+XLOOKUP(R75,'平台参数'!$A$5:$A$9,'平台参数'!$E$5:$E$9,0)+XLOOKUP(R75,'平台参数'!$A$5:$A$9,'平台参数'!$G$5:$G$9,0))+XLOOKUP(R75,'平台参数'!$A$5:$A$9,'平台参数'!$H$5:$H$9,0))</x:f>
        <x:v>0</x:v>
      </x:c>
      <x:c r="V75" s="270" t="n">
        <x:f>IF(S75=0,0,S75*(1-XLOOKUP(T75,'平台参数'!$A$5:$A$9,'平台参数'!$F$5:$F$9,0)-XLOOKUP(T75,'平台参数'!$A$5:$A$9,'平台参数'!$G$5:$G$9,0))-XLOOKUP(T75,'平台参数'!$A$5:$A$9,'平台参数'!$I$5:$I$9,0))</x:f>
        <x:v>0</x:v>
      </x:c>
      <x:c r="W75" s="270" t="n">
        <x:f>V75-U75</x:f>
        <x:v>0</x:v>
      </x:c>
      <x:c r="X75" s="271" t="n">
        <x:f>IFERROR(W75/U75,0)</x:f>
        <x:v>0</x:v>
      </x:c>
      <x:c r="Y75" s="271" t="n">
        <x:f>IFERROR((S75-Q75)/Q75,0)</x:f>
        <x:v>0</x:v>
      </x:c>
      <x:c r="Z75" s="272"/>
      <x:c r="AA75" s="272"/>
      <x:c r="AB75" s="272"/>
      <x:c r="AC75" s="272" t="str">
        <x:f>IF(A75="","",ROUND((Z75+AA75)*10+X75*100-AB75*8,1))</x:f>
      </x:c>
      <x:c r="AD75" s="269"/>
      <x:c r="AE75" s="270" t="n">
        <x:f>IF(T75="",0,(S75*(1-XLOOKUP(T75,'平台参数'!$A$5:$A$9,'平台参数'!$F$5:$F$9,0)-XLOOKUP(T75,'平台参数'!$A$5:$A$9,'平台参数'!$G$5:$G$9,0))-XLOOKUP(T75,'平台参数'!$A$5:$A$9,'平台参数'!$I$5:$I$9,0))/1.18)</x:f>
        <x:v>0</x:v>
      </x:c>
      <x:c r="AF75" s="273" t="str">
        <x:f>IF(A75="","",IFERROR(MAX(_xlfn._xlws.FILTER('实时行情'!$H$5:$H$124,'实时行情'!$A$5:$A$124=A75)),TODAY()))</x:f>
      </x:c>
      <x:c r="AG75" s="274"/>
    </x:row>
    <x:row r="76">
      <x:c r="A76" s="268"/>
      <x:c r="B76" s="269"/>
      <x:c r="C76" s="269"/>
      <x:c r="D76" s="269"/>
      <x:c r="E76" s="269"/>
      <x:c r="F76" s="269"/>
      <x:c r="G76" s="270" t="n">
        <x:f>SUMIFS('实时行情'!$D$5:$D$124,'实时行情'!$A$5:$A$124,$A76,'实时行情'!$C$5:$C$124,"eBay")</x:f>
        <x:v>0</x:v>
      </x:c>
      <x:c r="H76" s="270" t="n">
        <x:f>SUMIFS('实时行情'!$D$5:$D$124,'实时行情'!$A$5:$A$124,$A76,'实时行情'!$C$5:$C$124,"ALT")</x:f>
        <x:v>0</x:v>
      </x:c>
      <x:c r="I76" s="270" t="n">
        <x:f>SUMIFS('实时行情'!$D$5:$D$124,'实时行情'!$A$5:$A$124,$A76,'实时行情'!$C$5:$C$124,"Card Hobby")</x:f>
        <x:v>0</x:v>
      </x:c>
      <x:c r="J76" s="270" t="n">
        <x:f>SUMIFS('实时行情'!$D$5:$D$124,'实时行情'!$A$5:$A$124,$A76,'实时行情'!$C$5:$C$124,"Fanatics Collect")</x:f>
        <x:v>0</x:v>
      </x:c>
      <x:c r="K76" s="270" t="n">
        <x:f>SUMIFS('实时行情'!$D$5:$D$124,'实时行情'!$A$5:$A$124,$A76,'实时行情'!$C$5:$C$124,"PokerColor")</x:f>
        <x:v>0</x:v>
      </x:c>
      <x:c r="L76" s="270" t="n">
        <x:f>SUMIFS('实时行情'!$E$5:$E$124,'实时行情'!$A$5:$A$124,$A76,'实时行情'!$C$5:$C$124,"eBay")</x:f>
        <x:v>0</x:v>
      </x:c>
      <x:c r="M76" s="270" t="n">
        <x:f>SUMIFS('实时行情'!$E$5:$E$124,'实时行情'!$A$5:$A$124,$A76,'实时行情'!$C$5:$C$124,"ALT")</x:f>
        <x:v>0</x:v>
      </x:c>
      <x:c r="N76" s="270" t="n">
        <x:f>SUMIFS('实时行情'!$E$5:$E$124,'实时行情'!$A$5:$A$124,$A76,'实时行情'!$C$5:$C$124,"Card Hobby")</x:f>
        <x:v>0</x:v>
      </x:c>
      <x:c r="O76" s="270" t="n">
        <x:f>SUMIFS('实时行情'!$E$5:$E$124,'实时行情'!$A$5:$A$124,$A76,'实时行情'!$C$5:$C$124,"Fanatics Collect")</x:f>
        <x:v>0</x:v>
      </x:c>
      <x:c r="P76" s="270" t="n">
        <x:f>SUMIFS('实时行情'!$E$5:$E$124,'实时行情'!$A$5:$A$124,$A76,'实时行情'!$C$5:$C$124,"PokerColor")</x:f>
        <x:v>0</x:v>
      </x:c>
      <x:c r="Q76" s="270" t="n">
        <x:f>IFERROR(MIN(_xlfn._xlws.FILTER(G76:K76,G76:K76&gt;0)),0)</x:f>
        <x:v>0</x:v>
      </x:c>
      <x:c r="R76" s="270" t="str">
        <x:f>IF(Q76=0,"",SUBSTITUTE(SUBSTITUTE(INDEX($G$4:$K$4,1,MATCH(Q76,G76:K76,0)),"买价",""),"Fanatics","Fanatics Collect"))</x:f>
      </x:c>
      <x:c r="S76" s="270" t="n">
        <x:f>IFERROR(MAX(_xlfn._xlws.FILTER(L76:P76,L76:P76&gt;0)),0)</x:f>
        <x:v>0</x:v>
      </x:c>
      <x:c r="T76" s="270" t="str">
        <x:f>IF(S76=0,"",SUBSTITUTE(SUBSTITUTE(INDEX($L$4:$P$4,1,MATCH(S76,L76:P76,0)),"卖价",""),"Fanatics","Fanatics Collect"))</x:f>
      </x:c>
      <x:c r="U76" s="270" t="n">
        <x:f>IF(Q76=0,0,Q76*(1+XLOOKUP(R76,'平台参数'!$A$5:$A$9,'平台参数'!$E$5:$E$9,0)+XLOOKUP(R76,'平台参数'!$A$5:$A$9,'平台参数'!$G$5:$G$9,0))+XLOOKUP(R76,'平台参数'!$A$5:$A$9,'平台参数'!$H$5:$H$9,0))</x:f>
        <x:v>0</x:v>
      </x:c>
      <x:c r="V76" s="270" t="n">
        <x:f>IF(S76=0,0,S76*(1-XLOOKUP(T76,'平台参数'!$A$5:$A$9,'平台参数'!$F$5:$F$9,0)-XLOOKUP(T76,'平台参数'!$A$5:$A$9,'平台参数'!$G$5:$G$9,0))-XLOOKUP(T76,'平台参数'!$A$5:$A$9,'平台参数'!$I$5:$I$9,0))</x:f>
        <x:v>0</x:v>
      </x:c>
      <x:c r="W76" s="270" t="n">
        <x:f>V76-U76</x:f>
        <x:v>0</x:v>
      </x:c>
      <x:c r="X76" s="271" t="n">
        <x:f>IFERROR(W76/U76,0)</x:f>
        <x:v>0</x:v>
      </x:c>
      <x:c r="Y76" s="271" t="n">
        <x:f>IFERROR((S76-Q76)/Q76,0)</x:f>
        <x:v>0</x:v>
      </x:c>
      <x:c r="Z76" s="272"/>
      <x:c r="AA76" s="272"/>
      <x:c r="AB76" s="272"/>
      <x:c r="AC76" s="272" t="str">
        <x:f>IF(A76="","",ROUND((Z76+AA76)*10+X76*100-AB76*8,1))</x:f>
      </x:c>
      <x:c r="AD76" s="269"/>
      <x:c r="AE76" s="270" t="n">
        <x:f>IF(T76="",0,(S76*(1-XLOOKUP(T76,'平台参数'!$A$5:$A$9,'平台参数'!$F$5:$F$9,0)-XLOOKUP(T76,'平台参数'!$A$5:$A$9,'平台参数'!$G$5:$G$9,0))-XLOOKUP(T76,'平台参数'!$A$5:$A$9,'平台参数'!$I$5:$I$9,0))/1.18)</x:f>
        <x:v>0</x:v>
      </x:c>
      <x:c r="AF76" s="273" t="str">
        <x:f>IF(A76="","",IFERROR(MAX(_xlfn._xlws.FILTER('实时行情'!$H$5:$H$124,'实时行情'!$A$5:$A$124=A76)),TODAY()))</x:f>
      </x:c>
      <x:c r="AG76" s="274"/>
    </x:row>
    <x:row r="77">
      <x:c r="A77" s="268"/>
      <x:c r="B77" s="269"/>
      <x:c r="C77" s="269"/>
      <x:c r="D77" s="269"/>
      <x:c r="E77" s="269"/>
      <x:c r="F77" s="269"/>
      <x:c r="G77" s="270" t="n">
        <x:f>SUMIFS('实时行情'!$D$5:$D$124,'实时行情'!$A$5:$A$124,$A77,'实时行情'!$C$5:$C$124,"eBay")</x:f>
        <x:v>0</x:v>
      </x:c>
      <x:c r="H77" s="270" t="n">
        <x:f>SUMIFS('实时行情'!$D$5:$D$124,'实时行情'!$A$5:$A$124,$A77,'实时行情'!$C$5:$C$124,"ALT")</x:f>
        <x:v>0</x:v>
      </x:c>
      <x:c r="I77" s="270" t="n">
        <x:f>SUMIFS('实时行情'!$D$5:$D$124,'实时行情'!$A$5:$A$124,$A77,'实时行情'!$C$5:$C$124,"Card Hobby")</x:f>
        <x:v>0</x:v>
      </x:c>
      <x:c r="J77" s="270" t="n">
        <x:f>SUMIFS('实时行情'!$D$5:$D$124,'实时行情'!$A$5:$A$124,$A77,'实时行情'!$C$5:$C$124,"Fanatics Collect")</x:f>
        <x:v>0</x:v>
      </x:c>
      <x:c r="K77" s="270" t="n">
        <x:f>SUMIFS('实时行情'!$D$5:$D$124,'实时行情'!$A$5:$A$124,$A77,'实时行情'!$C$5:$C$124,"PokerColor")</x:f>
        <x:v>0</x:v>
      </x:c>
      <x:c r="L77" s="270" t="n">
        <x:f>SUMIFS('实时行情'!$E$5:$E$124,'实时行情'!$A$5:$A$124,$A77,'实时行情'!$C$5:$C$124,"eBay")</x:f>
        <x:v>0</x:v>
      </x:c>
      <x:c r="M77" s="270" t="n">
        <x:f>SUMIFS('实时行情'!$E$5:$E$124,'实时行情'!$A$5:$A$124,$A77,'实时行情'!$C$5:$C$124,"ALT")</x:f>
        <x:v>0</x:v>
      </x:c>
      <x:c r="N77" s="270" t="n">
        <x:f>SUMIFS('实时行情'!$E$5:$E$124,'实时行情'!$A$5:$A$124,$A77,'实时行情'!$C$5:$C$124,"Card Hobby")</x:f>
        <x:v>0</x:v>
      </x:c>
      <x:c r="O77" s="270" t="n">
        <x:f>SUMIFS('实时行情'!$E$5:$E$124,'实时行情'!$A$5:$A$124,$A77,'实时行情'!$C$5:$C$124,"Fanatics Collect")</x:f>
        <x:v>0</x:v>
      </x:c>
      <x:c r="P77" s="270" t="n">
        <x:f>SUMIFS('实时行情'!$E$5:$E$124,'实时行情'!$A$5:$A$124,$A77,'实时行情'!$C$5:$C$124,"PokerColor")</x:f>
        <x:v>0</x:v>
      </x:c>
      <x:c r="Q77" s="270" t="n">
        <x:f>IFERROR(MIN(_xlfn._xlws.FILTER(G77:K77,G77:K77&gt;0)),0)</x:f>
        <x:v>0</x:v>
      </x:c>
      <x:c r="R77" s="270" t="str">
        <x:f>IF(Q77=0,"",SUBSTITUTE(SUBSTITUTE(INDEX($G$4:$K$4,1,MATCH(Q77,G77:K77,0)),"买价",""),"Fanatics","Fanatics Collect"))</x:f>
      </x:c>
      <x:c r="S77" s="270" t="n">
        <x:f>IFERROR(MAX(_xlfn._xlws.FILTER(L77:P77,L77:P77&gt;0)),0)</x:f>
        <x:v>0</x:v>
      </x:c>
      <x:c r="T77" s="270" t="str">
        <x:f>IF(S77=0,"",SUBSTITUTE(SUBSTITUTE(INDEX($L$4:$P$4,1,MATCH(S77,L77:P77,0)),"卖价",""),"Fanatics","Fanatics Collect"))</x:f>
      </x:c>
      <x:c r="U77" s="270" t="n">
        <x:f>IF(Q77=0,0,Q77*(1+XLOOKUP(R77,'平台参数'!$A$5:$A$9,'平台参数'!$E$5:$E$9,0)+XLOOKUP(R77,'平台参数'!$A$5:$A$9,'平台参数'!$G$5:$G$9,0))+XLOOKUP(R77,'平台参数'!$A$5:$A$9,'平台参数'!$H$5:$H$9,0))</x:f>
        <x:v>0</x:v>
      </x:c>
      <x:c r="V77" s="270" t="n">
        <x:f>IF(S77=0,0,S77*(1-XLOOKUP(T77,'平台参数'!$A$5:$A$9,'平台参数'!$F$5:$F$9,0)-XLOOKUP(T77,'平台参数'!$A$5:$A$9,'平台参数'!$G$5:$G$9,0))-XLOOKUP(T77,'平台参数'!$A$5:$A$9,'平台参数'!$I$5:$I$9,0))</x:f>
        <x:v>0</x:v>
      </x:c>
      <x:c r="W77" s="270" t="n">
        <x:f>V77-U77</x:f>
        <x:v>0</x:v>
      </x:c>
      <x:c r="X77" s="271" t="n">
        <x:f>IFERROR(W77/U77,0)</x:f>
        <x:v>0</x:v>
      </x:c>
      <x:c r="Y77" s="271" t="n">
        <x:f>IFERROR((S77-Q77)/Q77,0)</x:f>
        <x:v>0</x:v>
      </x:c>
      <x:c r="Z77" s="272"/>
      <x:c r="AA77" s="272"/>
      <x:c r="AB77" s="272"/>
      <x:c r="AC77" s="272" t="str">
        <x:f>IF(A77="","",ROUND((Z77+AA77)*10+X77*100-AB77*8,1))</x:f>
      </x:c>
      <x:c r="AD77" s="269"/>
      <x:c r="AE77" s="270" t="n">
        <x:f>IF(T77="",0,(S77*(1-XLOOKUP(T77,'平台参数'!$A$5:$A$9,'平台参数'!$F$5:$F$9,0)-XLOOKUP(T77,'平台参数'!$A$5:$A$9,'平台参数'!$G$5:$G$9,0))-XLOOKUP(T77,'平台参数'!$A$5:$A$9,'平台参数'!$I$5:$I$9,0))/1.18)</x:f>
        <x:v>0</x:v>
      </x:c>
      <x:c r="AF77" s="273" t="str">
        <x:f>IF(A77="","",IFERROR(MAX(_xlfn._xlws.FILTER('实时行情'!$H$5:$H$124,'实时行情'!$A$5:$A$124=A77)),TODAY()))</x:f>
      </x:c>
      <x:c r="AG77" s="274"/>
    </x:row>
    <x:row r="78">
      <x:c r="A78" s="268"/>
      <x:c r="B78" s="269"/>
      <x:c r="C78" s="269"/>
      <x:c r="D78" s="269"/>
      <x:c r="E78" s="269"/>
      <x:c r="F78" s="269"/>
      <x:c r="G78" s="270" t="n">
        <x:f>SUMIFS('实时行情'!$D$5:$D$124,'实时行情'!$A$5:$A$124,$A78,'实时行情'!$C$5:$C$124,"eBay")</x:f>
        <x:v>0</x:v>
      </x:c>
      <x:c r="H78" s="270" t="n">
        <x:f>SUMIFS('实时行情'!$D$5:$D$124,'实时行情'!$A$5:$A$124,$A78,'实时行情'!$C$5:$C$124,"ALT")</x:f>
        <x:v>0</x:v>
      </x:c>
      <x:c r="I78" s="270" t="n">
        <x:f>SUMIFS('实时行情'!$D$5:$D$124,'实时行情'!$A$5:$A$124,$A78,'实时行情'!$C$5:$C$124,"Card Hobby")</x:f>
        <x:v>0</x:v>
      </x:c>
      <x:c r="J78" s="270" t="n">
        <x:f>SUMIFS('实时行情'!$D$5:$D$124,'实时行情'!$A$5:$A$124,$A78,'实时行情'!$C$5:$C$124,"Fanatics Collect")</x:f>
        <x:v>0</x:v>
      </x:c>
      <x:c r="K78" s="270" t="n">
        <x:f>SUMIFS('实时行情'!$D$5:$D$124,'实时行情'!$A$5:$A$124,$A78,'实时行情'!$C$5:$C$124,"PokerColor")</x:f>
        <x:v>0</x:v>
      </x:c>
      <x:c r="L78" s="270" t="n">
        <x:f>SUMIFS('实时行情'!$E$5:$E$124,'实时行情'!$A$5:$A$124,$A78,'实时行情'!$C$5:$C$124,"eBay")</x:f>
        <x:v>0</x:v>
      </x:c>
      <x:c r="M78" s="270" t="n">
        <x:f>SUMIFS('实时行情'!$E$5:$E$124,'实时行情'!$A$5:$A$124,$A78,'实时行情'!$C$5:$C$124,"ALT")</x:f>
        <x:v>0</x:v>
      </x:c>
      <x:c r="N78" s="270" t="n">
        <x:f>SUMIFS('实时行情'!$E$5:$E$124,'实时行情'!$A$5:$A$124,$A78,'实时行情'!$C$5:$C$124,"Card Hobby")</x:f>
        <x:v>0</x:v>
      </x:c>
      <x:c r="O78" s="270" t="n">
        <x:f>SUMIFS('实时行情'!$E$5:$E$124,'实时行情'!$A$5:$A$124,$A78,'实时行情'!$C$5:$C$124,"Fanatics Collect")</x:f>
        <x:v>0</x:v>
      </x:c>
      <x:c r="P78" s="270" t="n">
        <x:f>SUMIFS('实时行情'!$E$5:$E$124,'实时行情'!$A$5:$A$124,$A78,'实时行情'!$C$5:$C$124,"PokerColor")</x:f>
        <x:v>0</x:v>
      </x:c>
      <x:c r="Q78" s="270" t="n">
        <x:f>IFERROR(MIN(_xlfn._xlws.FILTER(G78:K78,G78:K78&gt;0)),0)</x:f>
        <x:v>0</x:v>
      </x:c>
      <x:c r="R78" s="270" t="str">
        <x:f>IF(Q78=0,"",SUBSTITUTE(SUBSTITUTE(INDEX($G$4:$K$4,1,MATCH(Q78,G78:K78,0)),"买价",""),"Fanatics","Fanatics Collect"))</x:f>
      </x:c>
      <x:c r="S78" s="270" t="n">
        <x:f>IFERROR(MAX(_xlfn._xlws.FILTER(L78:P78,L78:P78&gt;0)),0)</x:f>
        <x:v>0</x:v>
      </x:c>
      <x:c r="T78" s="270" t="str">
        <x:f>IF(S78=0,"",SUBSTITUTE(SUBSTITUTE(INDEX($L$4:$P$4,1,MATCH(S78,L78:P78,0)),"卖价",""),"Fanatics","Fanatics Collect"))</x:f>
      </x:c>
      <x:c r="U78" s="270" t="n">
        <x:f>IF(Q78=0,0,Q78*(1+XLOOKUP(R78,'平台参数'!$A$5:$A$9,'平台参数'!$E$5:$E$9,0)+XLOOKUP(R78,'平台参数'!$A$5:$A$9,'平台参数'!$G$5:$G$9,0))+XLOOKUP(R78,'平台参数'!$A$5:$A$9,'平台参数'!$H$5:$H$9,0))</x:f>
        <x:v>0</x:v>
      </x:c>
      <x:c r="V78" s="270" t="n">
        <x:f>IF(S78=0,0,S78*(1-XLOOKUP(T78,'平台参数'!$A$5:$A$9,'平台参数'!$F$5:$F$9,0)-XLOOKUP(T78,'平台参数'!$A$5:$A$9,'平台参数'!$G$5:$G$9,0))-XLOOKUP(T78,'平台参数'!$A$5:$A$9,'平台参数'!$I$5:$I$9,0))</x:f>
        <x:v>0</x:v>
      </x:c>
      <x:c r="W78" s="270" t="n">
        <x:f>V78-U78</x:f>
        <x:v>0</x:v>
      </x:c>
      <x:c r="X78" s="271" t="n">
        <x:f>IFERROR(W78/U78,0)</x:f>
        <x:v>0</x:v>
      </x:c>
      <x:c r="Y78" s="271" t="n">
        <x:f>IFERROR((S78-Q78)/Q78,0)</x:f>
        <x:v>0</x:v>
      </x:c>
      <x:c r="Z78" s="272"/>
      <x:c r="AA78" s="272"/>
      <x:c r="AB78" s="272"/>
      <x:c r="AC78" s="272" t="str">
        <x:f>IF(A78="","",ROUND((Z78+AA78)*10+X78*100-AB78*8,1))</x:f>
      </x:c>
      <x:c r="AD78" s="269"/>
      <x:c r="AE78" s="270" t="n">
        <x:f>IF(T78="",0,(S78*(1-XLOOKUP(T78,'平台参数'!$A$5:$A$9,'平台参数'!$F$5:$F$9,0)-XLOOKUP(T78,'平台参数'!$A$5:$A$9,'平台参数'!$G$5:$G$9,0))-XLOOKUP(T78,'平台参数'!$A$5:$A$9,'平台参数'!$I$5:$I$9,0))/1.18)</x:f>
        <x:v>0</x:v>
      </x:c>
      <x:c r="AF78" s="273" t="str">
        <x:f>IF(A78="","",IFERROR(MAX(_xlfn._xlws.FILTER('实时行情'!$H$5:$H$124,'实时行情'!$A$5:$A$124=A78)),TODAY()))</x:f>
      </x:c>
      <x:c r="AG78" s="274"/>
    </x:row>
    <x:row r="79">
      <x:c r="A79" s="268"/>
      <x:c r="B79" s="269"/>
      <x:c r="C79" s="269"/>
      <x:c r="D79" s="269"/>
      <x:c r="E79" s="269"/>
      <x:c r="F79" s="269"/>
      <x:c r="G79" s="270" t="n">
        <x:f>SUMIFS('实时行情'!$D$5:$D$124,'实时行情'!$A$5:$A$124,$A79,'实时行情'!$C$5:$C$124,"eBay")</x:f>
        <x:v>0</x:v>
      </x:c>
      <x:c r="H79" s="270" t="n">
        <x:f>SUMIFS('实时行情'!$D$5:$D$124,'实时行情'!$A$5:$A$124,$A79,'实时行情'!$C$5:$C$124,"ALT")</x:f>
        <x:v>0</x:v>
      </x:c>
      <x:c r="I79" s="270" t="n">
        <x:f>SUMIFS('实时行情'!$D$5:$D$124,'实时行情'!$A$5:$A$124,$A79,'实时行情'!$C$5:$C$124,"Card Hobby")</x:f>
        <x:v>0</x:v>
      </x:c>
      <x:c r="J79" s="270" t="n">
        <x:f>SUMIFS('实时行情'!$D$5:$D$124,'实时行情'!$A$5:$A$124,$A79,'实时行情'!$C$5:$C$124,"Fanatics Collect")</x:f>
        <x:v>0</x:v>
      </x:c>
      <x:c r="K79" s="270" t="n">
        <x:f>SUMIFS('实时行情'!$D$5:$D$124,'实时行情'!$A$5:$A$124,$A79,'实时行情'!$C$5:$C$124,"PokerColor")</x:f>
        <x:v>0</x:v>
      </x:c>
      <x:c r="L79" s="270" t="n">
        <x:f>SUMIFS('实时行情'!$E$5:$E$124,'实时行情'!$A$5:$A$124,$A79,'实时行情'!$C$5:$C$124,"eBay")</x:f>
        <x:v>0</x:v>
      </x:c>
      <x:c r="M79" s="270" t="n">
        <x:f>SUMIFS('实时行情'!$E$5:$E$124,'实时行情'!$A$5:$A$124,$A79,'实时行情'!$C$5:$C$124,"ALT")</x:f>
        <x:v>0</x:v>
      </x:c>
      <x:c r="N79" s="270" t="n">
        <x:f>SUMIFS('实时行情'!$E$5:$E$124,'实时行情'!$A$5:$A$124,$A79,'实时行情'!$C$5:$C$124,"Card Hobby")</x:f>
        <x:v>0</x:v>
      </x:c>
      <x:c r="O79" s="270" t="n">
        <x:f>SUMIFS('实时行情'!$E$5:$E$124,'实时行情'!$A$5:$A$124,$A79,'实时行情'!$C$5:$C$124,"Fanatics Collect")</x:f>
        <x:v>0</x:v>
      </x:c>
      <x:c r="P79" s="270" t="n">
        <x:f>SUMIFS('实时行情'!$E$5:$E$124,'实时行情'!$A$5:$A$124,$A79,'实时行情'!$C$5:$C$124,"PokerColor")</x:f>
        <x:v>0</x:v>
      </x:c>
      <x:c r="Q79" s="270" t="n">
        <x:f>IFERROR(MIN(_xlfn._xlws.FILTER(G79:K79,G79:K79&gt;0)),0)</x:f>
        <x:v>0</x:v>
      </x:c>
      <x:c r="R79" s="270" t="str">
        <x:f>IF(Q79=0,"",SUBSTITUTE(SUBSTITUTE(INDEX($G$4:$K$4,1,MATCH(Q79,G79:K79,0)),"买价",""),"Fanatics","Fanatics Collect"))</x:f>
      </x:c>
      <x:c r="S79" s="270" t="n">
        <x:f>IFERROR(MAX(_xlfn._xlws.FILTER(L79:P79,L79:P79&gt;0)),0)</x:f>
        <x:v>0</x:v>
      </x:c>
      <x:c r="T79" s="270" t="str">
        <x:f>IF(S79=0,"",SUBSTITUTE(SUBSTITUTE(INDEX($L$4:$P$4,1,MATCH(S79,L79:P79,0)),"卖价",""),"Fanatics","Fanatics Collect"))</x:f>
      </x:c>
      <x:c r="U79" s="270" t="n">
        <x:f>IF(Q79=0,0,Q79*(1+XLOOKUP(R79,'平台参数'!$A$5:$A$9,'平台参数'!$E$5:$E$9,0)+XLOOKUP(R79,'平台参数'!$A$5:$A$9,'平台参数'!$G$5:$G$9,0))+XLOOKUP(R79,'平台参数'!$A$5:$A$9,'平台参数'!$H$5:$H$9,0))</x:f>
        <x:v>0</x:v>
      </x:c>
      <x:c r="V79" s="270" t="n">
        <x:f>IF(S79=0,0,S79*(1-XLOOKUP(T79,'平台参数'!$A$5:$A$9,'平台参数'!$F$5:$F$9,0)-XLOOKUP(T79,'平台参数'!$A$5:$A$9,'平台参数'!$G$5:$G$9,0))-XLOOKUP(T79,'平台参数'!$A$5:$A$9,'平台参数'!$I$5:$I$9,0))</x:f>
        <x:v>0</x:v>
      </x:c>
      <x:c r="W79" s="270" t="n">
        <x:f>V79-U79</x:f>
        <x:v>0</x:v>
      </x:c>
      <x:c r="X79" s="271" t="n">
        <x:f>IFERROR(W79/U79,0)</x:f>
        <x:v>0</x:v>
      </x:c>
      <x:c r="Y79" s="271" t="n">
        <x:f>IFERROR((S79-Q79)/Q79,0)</x:f>
        <x:v>0</x:v>
      </x:c>
      <x:c r="Z79" s="272"/>
      <x:c r="AA79" s="272"/>
      <x:c r="AB79" s="272"/>
      <x:c r="AC79" s="272" t="str">
        <x:f>IF(A79="","",ROUND((Z79+AA79)*10+X79*100-AB79*8,1))</x:f>
      </x:c>
      <x:c r="AD79" s="269"/>
      <x:c r="AE79" s="270" t="n">
        <x:f>IF(T79="",0,(S79*(1-XLOOKUP(T79,'平台参数'!$A$5:$A$9,'平台参数'!$F$5:$F$9,0)-XLOOKUP(T79,'平台参数'!$A$5:$A$9,'平台参数'!$G$5:$G$9,0))-XLOOKUP(T79,'平台参数'!$A$5:$A$9,'平台参数'!$I$5:$I$9,0))/1.18)</x:f>
        <x:v>0</x:v>
      </x:c>
      <x:c r="AF79" s="273" t="str">
        <x:f>IF(A79="","",IFERROR(MAX(_xlfn._xlws.FILTER('实时行情'!$H$5:$H$124,'实时行情'!$A$5:$A$124=A79)),TODAY()))</x:f>
      </x:c>
      <x:c r="AG79" s="274"/>
    </x:row>
    <x:row r="80">
      <x:c r="A80" s="268"/>
      <x:c r="B80" s="269"/>
      <x:c r="C80" s="269"/>
      <x:c r="D80" s="269"/>
      <x:c r="E80" s="269"/>
      <x:c r="F80" s="269"/>
      <x:c r="G80" s="270" t="n">
        <x:f>SUMIFS('实时行情'!$D$5:$D$124,'实时行情'!$A$5:$A$124,$A80,'实时行情'!$C$5:$C$124,"eBay")</x:f>
        <x:v>0</x:v>
      </x:c>
      <x:c r="H80" s="270" t="n">
        <x:f>SUMIFS('实时行情'!$D$5:$D$124,'实时行情'!$A$5:$A$124,$A80,'实时行情'!$C$5:$C$124,"ALT")</x:f>
        <x:v>0</x:v>
      </x:c>
      <x:c r="I80" s="270" t="n">
        <x:f>SUMIFS('实时行情'!$D$5:$D$124,'实时行情'!$A$5:$A$124,$A80,'实时行情'!$C$5:$C$124,"Card Hobby")</x:f>
        <x:v>0</x:v>
      </x:c>
      <x:c r="J80" s="270" t="n">
        <x:f>SUMIFS('实时行情'!$D$5:$D$124,'实时行情'!$A$5:$A$124,$A80,'实时行情'!$C$5:$C$124,"Fanatics Collect")</x:f>
        <x:v>0</x:v>
      </x:c>
      <x:c r="K80" s="270" t="n">
        <x:f>SUMIFS('实时行情'!$D$5:$D$124,'实时行情'!$A$5:$A$124,$A80,'实时行情'!$C$5:$C$124,"PokerColor")</x:f>
        <x:v>0</x:v>
      </x:c>
      <x:c r="L80" s="270" t="n">
        <x:f>SUMIFS('实时行情'!$E$5:$E$124,'实时行情'!$A$5:$A$124,$A80,'实时行情'!$C$5:$C$124,"eBay")</x:f>
        <x:v>0</x:v>
      </x:c>
      <x:c r="M80" s="270" t="n">
        <x:f>SUMIFS('实时行情'!$E$5:$E$124,'实时行情'!$A$5:$A$124,$A80,'实时行情'!$C$5:$C$124,"ALT")</x:f>
        <x:v>0</x:v>
      </x:c>
      <x:c r="N80" s="270" t="n">
        <x:f>SUMIFS('实时行情'!$E$5:$E$124,'实时行情'!$A$5:$A$124,$A80,'实时行情'!$C$5:$C$124,"Card Hobby")</x:f>
        <x:v>0</x:v>
      </x:c>
      <x:c r="O80" s="270" t="n">
        <x:f>SUMIFS('实时行情'!$E$5:$E$124,'实时行情'!$A$5:$A$124,$A80,'实时行情'!$C$5:$C$124,"Fanatics Collect")</x:f>
        <x:v>0</x:v>
      </x:c>
      <x:c r="P80" s="270" t="n">
        <x:f>SUMIFS('实时行情'!$E$5:$E$124,'实时行情'!$A$5:$A$124,$A80,'实时行情'!$C$5:$C$124,"PokerColor")</x:f>
        <x:v>0</x:v>
      </x:c>
      <x:c r="Q80" s="270" t="n">
        <x:f>IFERROR(MIN(_xlfn._xlws.FILTER(G80:K80,G80:K80&gt;0)),0)</x:f>
        <x:v>0</x:v>
      </x:c>
      <x:c r="R80" s="270" t="str">
        <x:f>IF(Q80=0,"",SUBSTITUTE(SUBSTITUTE(INDEX($G$4:$K$4,1,MATCH(Q80,G80:K80,0)),"买价",""),"Fanatics","Fanatics Collect"))</x:f>
      </x:c>
      <x:c r="S80" s="270" t="n">
        <x:f>IFERROR(MAX(_xlfn._xlws.FILTER(L80:P80,L80:P80&gt;0)),0)</x:f>
        <x:v>0</x:v>
      </x:c>
      <x:c r="T80" s="270" t="str">
        <x:f>IF(S80=0,"",SUBSTITUTE(SUBSTITUTE(INDEX($L$4:$P$4,1,MATCH(S80,L80:P80,0)),"卖价",""),"Fanatics","Fanatics Collect"))</x:f>
      </x:c>
      <x:c r="U80" s="270" t="n">
        <x:f>IF(Q80=0,0,Q80*(1+XLOOKUP(R80,'平台参数'!$A$5:$A$9,'平台参数'!$E$5:$E$9,0)+XLOOKUP(R80,'平台参数'!$A$5:$A$9,'平台参数'!$G$5:$G$9,0))+XLOOKUP(R80,'平台参数'!$A$5:$A$9,'平台参数'!$H$5:$H$9,0))</x:f>
        <x:v>0</x:v>
      </x:c>
      <x:c r="V80" s="270" t="n">
        <x:f>IF(S80=0,0,S80*(1-XLOOKUP(T80,'平台参数'!$A$5:$A$9,'平台参数'!$F$5:$F$9,0)-XLOOKUP(T80,'平台参数'!$A$5:$A$9,'平台参数'!$G$5:$G$9,0))-XLOOKUP(T80,'平台参数'!$A$5:$A$9,'平台参数'!$I$5:$I$9,0))</x:f>
        <x:v>0</x:v>
      </x:c>
      <x:c r="W80" s="270" t="n">
        <x:f>V80-U80</x:f>
        <x:v>0</x:v>
      </x:c>
      <x:c r="X80" s="271" t="n">
        <x:f>IFERROR(W80/U80,0)</x:f>
        <x:v>0</x:v>
      </x:c>
      <x:c r="Y80" s="271" t="n">
        <x:f>IFERROR((S80-Q80)/Q80,0)</x:f>
        <x:v>0</x:v>
      </x:c>
      <x:c r="Z80" s="272"/>
      <x:c r="AA80" s="272"/>
      <x:c r="AB80" s="272"/>
      <x:c r="AC80" s="272" t="str">
        <x:f>IF(A80="","",ROUND((Z80+AA80)*10+X80*100-AB80*8,1))</x:f>
      </x:c>
      <x:c r="AD80" s="269"/>
      <x:c r="AE80" s="270" t="n">
        <x:f>IF(T80="",0,(S80*(1-XLOOKUP(T80,'平台参数'!$A$5:$A$9,'平台参数'!$F$5:$F$9,0)-XLOOKUP(T80,'平台参数'!$A$5:$A$9,'平台参数'!$G$5:$G$9,0))-XLOOKUP(T80,'平台参数'!$A$5:$A$9,'平台参数'!$I$5:$I$9,0))/1.18)</x:f>
        <x:v>0</x:v>
      </x:c>
      <x:c r="AF80" s="273" t="str">
        <x:f>IF(A80="","",IFERROR(MAX(_xlfn._xlws.FILTER('实时行情'!$H$5:$H$124,'实时行情'!$A$5:$A$124=A80)),TODAY()))</x:f>
      </x:c>
      <x:c r="AG80" s="274"/>
    </x:row>
    <x:row r="81">
      <x:c r="A81" s="268"/>
      <x:c r="B81" s="269"/>
      <x:c r="C81" s="269"/>
      <x:c r="D81" s="269"/>
      <x:c r="E81" s="269"/>
      <x:c r="F81" s="269"/>
      <x:c r="G81" s="270" t="n">
        <x:f>SUMIFS('实时行情'!$D$5:$D$124,'实时行情'!$A$5:$A$124,$A81,'实时行情'!$C$5:$C$124,"eBay")</x:f>
        <x:v>0</x:v>
      </x:c>
      <x:c r="H81" s="270" t="n">
        <x:f>SUMIFS('实时行情'!$D$5:$D$124,'实时行情'!$A$5:$A$124,$A81,'实时行情'!$C$5:$C$124,"ALT")</x:f>
        <x:v>0</x:v>
      </x:c>
      <x:c r="I81" s="270" t="n">
        <x:f>SUMIFS('实时行情'!$D$5:$D$124,'实时行情'!$A$5:$A$124,$A81,'实时行情'!$C$5:$C$124,"Card Hobby")</x:f>
        <x:v>0</x:v>
      </x:c>
      <x:c r="J81" s="270" t="n">
        <x:f>SUMIFS('实时行情'!$D$5:$D$124,'实时行情'!$A$5:$A$124,$A81,'实时行情'!$C$5:$C$124,"Fanatics Collect")</x:f>
        <x:v>0</x:v>
      </x:c>
      <x:c r="K81" s="270" t="n">
        <x:f>SUMIFS('实时行情'!$D$5:$D$124,'实时行情'!$A$5:$A$124,$A81,'实时行情'!$C$5:$C$124,"PokerColor")</x:f>
        <x:v>0</x:v>
      </x:c>
      <x:c r="L81" s="270" t="n">
        <x:f>SUMIFS('实时行情'!$E$5:$E$124,'实时行情'!$A$5:$A$124,$A81,'实时行情'!$C$5:$C$124,"eBay")</x:f>
        <x:v>0</x:v>
      </x:c>
      <x:c r="M81" s="270" t="n">
        <x:f>SUMIFS('实时行情'!$E$5:$E$124,'实时行情'!$A$5:$A$124,$A81,'实时行情'!$C$5:$C$124,"ALT")</x:f>
        <x:v>0</x:v>
      </x:c>
      <x:c r="N81" s="270" t="n">
        <x:f>SUMIFS('实时行情'!$E$5:$E$124,'实时行情'!$A$5:$A$124,$A81,'实时行情'!$C$5:$C$124,"Card Hobby")</x:f>
        <x:v>0</x:v>
      </x:c>
      <x:c r="O81" s="270" t="n">
        <x:f>SUMIFS('实时行情'!$E$5:$E$124,'实时行情'!$A$5:$A$124,$A81,'实时行情'!$C$5:$C$124,"Fanatics Collect")</x:f>
        <x:v>0</x:v>
      </x:c>
      <x:c r="P81" s="270" t="n">
        <x:f>SUMIFS('实时行情'!$E$5:$E$124,'实时行情'!$A$5:$A$124,$A81,'实时行情'!$C$5:$C$124,"PokerColor")</x:f>
        <x:v>0</x:v>
      </x:c>
      <x:c r="Q81" s="270" t="n">
        <x:f>IFERROR(MIN(_xlfn._xlws.FILTER(G81:K81,G81:K81&gt;0)),0)</x:f>
        <x:v>0</x:v>
      </x:c>
      <x:c r="R81" s="270" t="str">
        <x:f>IF(Q81=0,"",SUBSTITUTE(SUBSTITUTE(INDEX($G$4:$K$4,1,MATCH(Q81,G81:K81,0)),"买价",""),"Fanatics","Fanatics Collect"))</x:f>
      </x:c>
      <x:c r="S81" s="270" t="n">
        <x:f>IFERROR(MAX(_xlfn._xlws.FILTER(L81:P81,L81:P81&gt;0)),0)</x:f>
        <x:v>0</x:v>
      </x:c>
      <x:c r="T81" s="270" t="str">
        <x:f>IF(S81=0,"",SUBSTITUTE(SUBSTITUTE(INDEX($L$4:$P$4,1,MATCH(S81,L81:P81,0)),"卖价",""),"Fanatics","Fanatics Collect"))</x:f>
      </x:c>
      <x:c r="U81" s="270" t="n">
        <x:f>IF(Q81=0,0,Q81*(1+XLOOKUP(R81,'平台参数'!$A$5:$A$9,'平台参数'!$E$5:$E$9,0)+XLOOKUP(R81,'平台参数'!$A$5:$A$9,'平台参数'!$G$5:$G$9,0))+XLOOKUP(R81,'平台参数'!$A$5:$A$9,'平台参数'!$H$5:$H$9,0))</x:f>
        <x:v>0</x:v>
      </x:c>
      <x:c r="V81" s="270" t="n">
        <x:f>IF(S81=0,0,S81*(1-XLOOKUP(T81,'平台参数'!$A$5:$A$9,'平台参数'!$F$5:$F$9,0)-XLOOKUP(T81,'平台参数'!$A$5:$A$9,'平台参数'!$G$5:$G$9,0))-XLOOKUP(T81,'平台参数'!$A$5:$A$9,'平台参数'!$I$5:$I$9,0))</x:f>
        <x:v>0</x:v>
      </x:c>
      <x:c r="W81" s="270" t="n">
        <x:f>V81-U81</x:f>
        <x:v>0</x:v>
      </x:c>
      <x:c r="X81" s="271" t="n">
        <x:f>IFERROR(W81/U81,0)</x:f>
        <x:v>0</x:v>
      </x:c>
      <x:c r="Y81" s="271" t="n">
        <x:f>IFERROR((S81-Q81)/Q81,0)</x:f>
        <x:v>0</x:v>
      </x:c>
      <x:c r="Z81" s="272"/>
      <x:c r="AA81" s="272"/>
      <x:c r="AB81" s="272"/>
      <x:c r="AC81" s="272" t="str">
        <x:f>IF(A81="","",ROUND((Z81+AA81)*10+X81*100-AB81*8,1))</x:f>
      </x:c>
      <x:c r="AD81" s="269"/>
      <x:c r="AE81" s="270" t="n">
        <x:f>IF(T81="",0,(S81*(1-XLOOKUP(T81,'平台参数'!$A$5:$A$9,'平台参数'!$F$5:$F$9,0)-XLOOKUP(T81,'平台参数'!$A$5:$A$9,'平台参数'!$G$5:$G$9,0))-XLOOKUP(T81,'平台参数'!$A$5:$A$9,'平台参数'!$I$5:$I$9,0))/1.18)</x:f>
        <x:v>0</x:v>
      </x:c>
      <x:c r="AF81" s="273" t="str">
        <x:f>IF(A81="","",IFERROR(MAX(_xlfn._xlws.FILTER('实时行情'!$H$5:$H$124,'实时行情'!$A$5:$A$124=A81)),TODAY()))</x:f>
      </x:c>
      <x:c r="AG81" s="274"/>
    </x:row>
    <x:row r="82">
      <x:c r="A82" s="268"/>
      <x:c r="B82" s="269"/>
      <x:c r="C82" s="269"/>
      <x:c r="D82" s="269"/>
      <x:c r="E82" s="269"/>
      <x:c r="F82" s="269"/>
      <x:c r="G82" s="270" t="n">
        <x:f>SUMIFS('实时行情'!$D$5:$D$124,'实时行情'!$A$5:$A$124,$A82,'实时行情'!$C$5:$C$124,"eBay")</x:f>
        <x:v>0</x:v>
      </x:c>
      <x:c r="H82" s="270" t="n">
        <x:f>SUMIFS('实时行情'!$D$5:$D$124,'实时行情'!$A$5:$A$124,$A82,'实时行情'!$C$5:$C$124,"ALT")</x:f>
        <x:v>0</x:v>
      </x:c>
      <x:c r="I82" s="270" t="n">
        <x:f>SUMIFS('实时行情'!$D$5:$D$124,'实时行情'!$A$5:$A$124,$A82,'实时行情'!$C$5:$C$124,"Card Hobby")</x:f>
        <x:v>0</x:v>
      </x:c>
      <x:c r="J82" s="270" t="n">
        <x:f>SUMIFS('实时行情'!$D$5:$D$124,'实时行情'!$A$5:$A$124,$A82,'实时行情'!$C$5:$C$124,"Fanatics Collect")</x:f>
        <x:v>0</x:v>
      </x:c>
      <x:c r="K82" s="270" t="n">
        <x:f>SUMIFS('实时行情'!$D$5:$D$124,'实时行情'!$A$5:$A$124,$A82,'实时行情'!$C$5:$C$124,"PokerColor")</x:f>
        <x:v>0</x:v>
      </x:c>
      <x:c r="L82" s="270" t="n">
        <x:f>SUMIFS('实时行情'!$E$5:$E$124,'实时行情'!$A$5:$A$124,$A82,'实时行情'!$C$5:$C$124,"eBay")</x:f>
        <x:v>0</x:v>
      </x:c>
      <x:c r="M82" s="270" t="n">
        <x:f>SUMIFS('实时行情'!$E$5:$E$124,'实时行情'!$A$5:$A$124,$A82,'实时行情'!$C$5:$C$124,"ALT")</x:f>
        <x:v>0</x:v>
      </x:c>
      <x:c r="N82" s="270" t="n">
        <x:f>SUMIFS('实时行情'!$E$5:$E$124,'实时行情'!$A$5:$A$124,$A82,'实时行情'!$C$5:$C$124,"Card Hobby")</x:f>
        <x:v>0</x:v>
      </x:c>
      <x:c r="O82" s="270" t="n">
        <x:f>SUMIFS('实时行情'!$E$5:$E$124,'实时行情'!$A$5:$A$124,$A82,'实时行情'!$C$5:$C$124,"Fanatics Collect")</x:f>
        <x:v>0</x:v>
      </x:c>
      <x:c r="P82" s="270" t="n">
        <x:f>SUMIFS('实时行情'!$E$5:$E$124,'实时行情'!$A$5:$A$124,$A82,'实时行情'!$C$5:$C$124,"PokerColor")</x:f>
        <x:v>0</x:v>
      </x:c>
      <x:c r="Q82" s="270" t="n">
        <x:f>IFERROR(MIN(_xlfn._xlws.FILTER(G82:K82,G82:K82&gt;0)),0)</x:f>
        <x:v>0</x:v>
      </x:c>
      <x:c r="R82" s="270" t="str">
        <x:f>IF(Q82=0,"",SUBSTITUTE(SUBSTITUTE(INDEX($G$4:$K$4,1,MATCH(Q82,G82:K82,0)),"买价",""),"Fanatics","Fanatics Collect"))</x:f>
      </x:c>
      <x:c r="S82" s="270" t="n">
        <x:f>IFERROR(MAX(_xlfn._xlws.FILTER(L82:P82,L82:P82&gt;0)),0)</x:f>
        <x:v>0</x:v>
      </x:c>
      <x:c r="T82" s="270" t="str">
        <x:f>IF(S82=0,"",SUBSTITUTE(SUBSTITUTE(INDEX($L$4:$P$4,1,MATCH(S82,L82:P82,0)),"卖价",""),"Fanatics","Fanatics Collect"))</x:f>
      </x:c>
      <x:c r="U82" s="270" t="n">
        <x:f>IF(Q82=0,0,Q82*(1+XLOOKUP(R82,'平台参数'!$A$5:$A$9,'平台参数'!$E$5:$E$9,0)+XLOOKUP(R82,'平台参数'!$A$5:$A$9,'平台参数'!$G$5:$G$9,0))+XLOOKUP(R82,'平台参数'!$A$5:$A$9,'平台参数'!$H$5:$H$9,0))</x:f>
        <x:v>0</x:v>
      </x:c>
      <x:c r="V82" s="270" t="n">
        <x:f>IF(S82=0,0,S82*(1-XLOOKUP(T82,'平台参数'!$A$5:$A$9,'平台参数'!$F$5:$F$9,0)-XLOOKUP(T82,'平台参数'!$A$5:$A$9,'平台参数'!$G$5:$G$9,0))-XLOOKUP(T82,'平台参数'!$A$5:$A$9,'平台参数'!$I$5:$I$9,0))</x:f>
        <x:v>0</x:v>
      </x:c>
      <x:c r="W82" s="270" t="n">
        <x:f>V82-U82</x:f>
        <x:v>0</x:v>
      </x:c>
      <x:c r="X82" s="271" t="n">
        <x:f>IFERROR(W82/U82,0)</x:f>
        <x:v>0</x:v>
      </x:c>
      <x:c r="Y82" s="271" t="n">
        <x:f>IFERROR((S82-Q82)/Q82,0)</x:f>
        <x:v>0</x:v>
      </x:c>
      <x:c r="Z82" s="272"/>
      <x:c r="AA82" s="272"/>
      <x:c r="AB82" s="272"/>
      <x:c r="AC82" s="272" t="str">
        <x:f>IF(A82="","",ROUND((Z82+AA82)*10+X82*100-AB82*8,1))</x:f>
      </x:c>
      <x:c r="AD82" s="269"/>
      <x:c r="AE82" s="270" t="n">
        <x:f>IF(T82="",0,(S82*(1-XLOOKUP(T82,'平台参数'!$A$5:$A$9,'平台参数'!$F$5:$F$9,0)-XLOOKUP(T82,'平台参数'!$A$5:$A$9,'平台参数'!$G$5:$G$9,0))-XLOOKUP(T82,'平台参数'!$A$5:$A$9,'平台参数'!$I$5:$I$9,0))/1.18)</x:f>
        <x:v>0</x:v>
      </x:c>
      <x:c r="AF82" s="273" t="str">
        <x:f>IF(A82="","",IFERROR(MAX(_xlfn._xlws.FILTER('实时行情'!$H$5:$H$124,'实时行情'!$A$5:$A$124=A82)),TODAY()))</x:f>
      </x:c>
      <x:c r="AG82" s="274"/>
    </x:row>
    <x:row r="83">
      <x:c r="A83" s="268"/>
      <x:c r="B83" s="269"/>
      <x:c r="C83" s="269"/>
      <x:c r="D83" s="269"/>
      <x:c r="E83" s="269"/>
      <x:c r="F83" s="269"/>
      <x:c r="G83" s="270" t="n">
        <x:f>SUMIFS('实时行情'!$D$5:$D$124,'实时行情'!$A$5:$A$124,$A83,'实时行情'!$C$5:$C$124,"eBay")</x:f>
        <x:v>0</x:v>
      </x:c>
      <x:c r="H83" s="270" t="n">
        <x:f>SUMIFS('实时行情'!$D$5:$D$124,'实时行情'!$A$5:$A$124,$A83,'实时行情'!$C$5:$C$124,"ALT")</x:f>
        <x:v>0</x:v>
      </x:c>
      <x:c r="I83" s="270" t="n">
        <x:f>SUMIFS('实时行情'!$D$5:$D$124,'实时行情'!$A$5:$A$124,$A83,'实时行情'!$C$5:$C$124,"Card Hobby")</x:f>
        <x:v>0</x:v>
      </x:c>
      <x:c r="J83" s="270" t="n">
        <x:f>SUMIFS('实时行情'!$D$5:$D$124,'实时行情'!$A$5:$A$124,$A83,'实时行情'!$C$5:$C$124,"Fanatics Collect")</x:f>
        <x:v>0</x:v>
      </x:c>
      <x:c r="K83" s="270" t="n">
        <x:f>SUMIFS('实时行情'!$D$5:$D$124,'实时行情'!$A$5:$A$124,$A83,'实时行情'!$C$5:$C$124,"PokerColor")</x:f>
        <x:v>0</x:v>
      </x:c>
      <x:c r="L83" s="270" t="n">
        <x:f>SUMIFS('实时行情'!$E$5:$E$124,'实时行情'!$A$5:$A$124,$A83,'实时行情'!$C$5:$C$124,"eBay")</x:f>
        <x:v>0</x:v>
      </x:c>
      <x:c r="M83" s="270" t="n">
        <x:f>SUMIFS('实时行情'!$E$5:$E$124,'实时行情'!$A$5:$A$124,$A83,'实时行情'!$C$5:$C$124,"ALT")</x:f>
        <x:v>0</x:v>
      </x:c>
      <x:c r="N83" s="270" t="n">
        <x:f>SUMIFS('实时行情'!$E$5:$E$124,'实时行情'!$A$5:$A$124,$A83,'实时行情'!$C$5:$C$124,"Card Hobby")</x:f>
        <x:v>0</x:v>
      </x:c>
      <x:c r="O83" s="270" t="n">
        <x:f>SUMIFS('实时行情'!$E$5:$E$124,'实时行情'!$A$5:$A$124,$A83,'实时行情'!$C$5:$C$124,"Fanatics Collect")</x:f>
        <x:v>0</x:v>
      </x:c>
      <x:c r="P83" s="270" t="n">
        <x:f>SUMIFS('实时行情'!$E$5:$E$124,'实时行情'!$A$5:$A$124,$A83,'实时行情'!$C$5:$C$124,"PokerColor")</x:f>
        <x:v>0</x:v>
      </x:c>
      <x:c r="Q83" s="270" t="n">
        <x:f>IFERROR(MIN(_xlfn._xlws.FILTER(G83:K83,G83:K83&gt;0)),0)</x:f>
        <x:v>0</x:v>
      </x:c>
      <x:c r="R83" s="270" t="str">
        <x:f>IF(Q83=0,"",SUBSTITUTE(SUBSTITUTE(INDEX($G$4:$K$4,1,MATCH(Q83,G83:K83,0)),"买价",""),"Fanatics","Fanatics Collect"))</x:f>
      </x:c>
      <x:c r="S83" s="270" t="n">
        <x:f>IFERROR(MAX(_xlfn._xlws.FILTER(L83:P83,L83:P83&gt;0)),0)</x:f>
        <x:v>0</x:v>
      </x:c>
      <x:c r="T83" s="270" t="str">
        <x:f>IF(S83=0,"",SUBSTITUTE(SUBSTITUTE(INDEX($L$4:$P$4,1,MATCH(S83,L83:P83,0)),"卖价",""),"Fanatics","Fanatics Collect"))</x:f>
      </x:c>
      <x:c r="U83" s="270" t="n">
        <x:f>IF(Q83=0,0,Q83*(1+XLOOKUP(R83,'平台参数'!$A$5:$A$9,'平台参数'!$E$5:$E$9,0)+XLOOKUP(R83,'平台参数'!$A$5:$A$9,'平台参数'!$G$5:$G$9,0))+XLOOKUP(R83,'平台参数'!$A$5:$A$9,'平台参数'!$H$5:$H$9,0))</x:f>
        <x:v>0</x:v>
      </x:c>
      <x:c r="V83" s="270" t="n">
        <x:f>IF(S83=0,0,S83*(1-XLOOKUP(T83,'平台参数'!$A$5:$A$9,'平台参数'!$F$5:$F$9,0)-XLOOKUP(T83,'平台参数'!$A$5:$A$9,'平台参数'!$G$5:$G$9,0))-XLOOKUP(T83,'平台参数'!$A$5:$A$9,'平台参数'!$I$5:$I$9,0))</x:f>
        <x:v>0</x:v>
      </x:c>
      <x:c r="W83" s="270" t="n">
        <x:f>V83-U83</x:f>
        <x:v>0</x:v>
      </x:c>
      <x:c r="X83" s="271" t="n">
        <x:f>IFERROR(W83/U83,0)</x:f>
        <x:v>0</x:v>
      </x:c>
      <x:c r="Y83" s="271" t="n">
        <x:f>IFERROR((S83-Q83)/Q83,0)</x:f>
        <x:v>0</x:v>
      </x:c>
      <x:c r="Z83" s="272"/>
      <x:c r="AA83" s="272"/>
      <x:c r="AB83" s="272"/>
      <x:c r="AC83" s="272" t="str">
        <x:f>IF(A83="","",ROUND((Z83+AA83)*10+X83*100-AB83*8,1))</x:f>
      </x:c>
      <x:c r="AD83" s="269"/>
      <x:c r="AE83" s="270" t="n">
        <x:f>IF(T83="",0,(S83*(1-XLOOKUP(T83,'平台参数'!$A$5:$A$9,'平台参数'!$F$5:$F$9,0)-XLOOKUP(T83,'平台参数'!$A$5:$A$9,'平台参数'!$G$5:$G$9,0))-XLOOKUP(T83,'平台参数'!$A$5:$A$9,'平台参数'!$I$5:$I$9,0))/1.18)</x:f>
        <x:v>0</x:v>
      </x:c>
      <x:c r="AF83" s="273" t="str">
        <x:f>IF(A83="","",IFERROR(MAX(_xlfn._xlws.FILTER('实时行情'!$H$5:$H$124,'实时行情'!$A$5:$A$124=A83)),TODAY()))</x:f>
      </x:c>
      <x:c r="AG83" s="274"/>
    </x:row>
    <x:row r="84">
      <x:c r="A84" s="268"/>
      <x:c r="B84" s="269"/>
      <x:c r="C84" s="269"/>
      <x:c r="D84" s="269"/>
      <x:c r="E84" s="269"/>
      <x:c r="F84" s="269"/>
      <x:c r="G84" s="270" t="n">
        <x:f>SUMIFS('实时行情'!$D$5:$D$124,'实时行情'!$A$5:$A$124,$A84,'实时行情'!$C$5:$C$124,"eBay")</x:f>
        <x:v>0</x:v>
      </x:c>
      <x:c r="H84" s="270" t="n">
        <x:f>SUMIFS('实时行情'!$D$5:$D$124,'实时行情'!$A$5:$A$124,$A84,'实时行情'!$C$5:$C$124,"ALT")</x:f>
        <x:v>0</x:v>
      </x:c>
      <x:c r="I84" s="270" t="n">
        <x:f>SUMIFS('实时行情'!$D$5:$D$124,'实时行情'!$A$5:$A$124,$A84,'实时行情'!$C$5:$C$124,"Card Hobby")</x:f>
        <x:v>0</x:v>
      </x:c>
      <x:c r="J84" s="270" t="n">
        <x:f>SUMIFS('实时行情'!$D$5:$D$124,'实时行情'!$A$5:$A$124,$A84,'实时行情'!$C$5:$C$124,"Fanatics Collect")</x:f>
        <x:v>0</x:v>
      </x:c>
      <x:c r="K84" s="270" t="n">
        <x:f>SUMIFS('实时行情'!$D$5:$D$124,'实时行情'!$A$5:$A$124,$A84,'实时行情'!$C$5:$C$124,"PokerColor")</x:f>
        <x:v>0</x:v>
      </x:c>
      <x:c r="L84" s="270" t="n">
        <x:f>SUMIFS('实时行情'!$E$5:$E$124,'实时行情'!$A$5:$A$124,$A84,'实时行情'!$C$5:$C$124,"eBay")</x:f>
        <x:v>0</x:v>
      </x:c>
      <x:c r="M84" s="270" t="n">
        <x:f>SUMIFS('实时行情'!$E$5:$E$124,'实时行情'!$A$5:$A$124,$A84,'实时行情'!$C$5:$C$124,"ALT")</x:f>
        <x:v>0</x:v>
      </x:c>
      <x:c r="N84" s="270" t="n">
        <x:f>SUMIFS('实时行情'!$E$5:$E$124,'实时行情'!$A$5:$A$124,$A84,'实时行情'!$C$5:$C$124,"Card Hobby")</x:f>
        <x:v>0</x:v>
      </x:c>
      <x:c r="O84" s="270" t="n">
        <x:f>SUMIFS('实时行情'!$E$5:$E$124,'实时行情'!$A$5:$A$124,$A84,'实时行情'!$C$5:$C$124,"Fanatics Collect")</x:f>
        <x:v>0</x:v>
      </x:c>
      <x:c r="P84" s="270" t="n">
        <x:f>SUMIFS('实时行情'!$E$5:$E$124,'实时行情'!$A$5:$A$124,$A84,'实时行情'!$C$5:$C$124,"PokerColor")</x:f>
        <x:v>0</x:v>
      </x:c>
      <x:c r="Q84" s="270" t="n">
        <x:f>IFERROR(MIN(_xlfn._xlws.FILTER(G84:K84,G84:K84&gt;0)),0)</x:f>
        <x:v>0</x:v>
      </x:c>
      <x:c r="R84" s="270" t="str">
        <x:f>IF(Q84=0,"",SUBSTITUTE(SUBSTITUTE(INDEX($G$4:$K$4,1,MATCH(Q84,G84:K84,0)),"买价",""),"Fanatics","Fanatics Collect"))</x:f>
      </x:c>
      <x:c r="S84" s="270" t="n">
        <x:f>IFERROR(MAX(_xlfn._xlws.FILTER(L84:P84,L84:P84&gt;0)),0)</x:f>
        <x:v>0</x:v>
      </x:c>
      <x:c r="T84" s="270" t="str">
        <x:f>IF(S84=0,"",SUBSTITUTE(SUBSTITUTE(INDEX($L$4:$P$4,1,MATCH(S84,L84:P84,0)),"卖价",""),"Fanatics","Fanatics Collect"))</x:f>
      </x:c>
      <x:c r="U84" s="270" t="n">
        <x:f>IF(Q84=0,0,Q84*(1+XLOOKUP(R84,'平台参数'!$A$5:$A$9,'平台参数'!$E$5:$E$9,0)+XLOOKUP(R84,'平台参数'!$A$5:$A$9,'平台参数'!$G$5:$G$9,0))+XLOOKUP(R84,'平台参数'!$A$5:$A$9,'平台参数'!$H$5:$H$9,0))</x:f>
        <x:v>0</x:v>
      </x:c>
      <x:c r="V84" s="270" t="n">
        <x:f>IF(S84=0,0,S84*(1-XLOOKUP(T84,'平台参数'!$A$5:$A$9,'平台参数'!$F$5:$F$9,0)-XLOOKUP(T84,'平台参数'!$A$5:$A$9,'平台参数'!$G$5:$G$9,0))-XLOOKUP(T84,'平台参数'!$A$5:$A$9,'平台参数'!$I$5:$I$9,0))</x:f>
        <x:v>0</x:v>
      </x:c>
      <x:c r="W84" s="270" t="n">
        <x:f>V84-U84</x:f>
        <x:v>0</x:v>
      </x:c>
      <x:c r="X84" s="271" t="n">
        <x:f>IFERROR(W84/U84,0)</x:f>
        <x:v>0</x:v>
      </x:c>
      <x:c r="Y84" s="271" t="n">
        <x:f>IFERROR((S84-Q84)/Q84,0)</x:f>
        <x:v>0</x:v>
      </x:c>
      <x:c r="Z84" s="272"/>
      <x:c r="AA84" s="272"/>
      <x:c r="AB84" s="272"/>
      <x:c r="AC84" s="272" t="str">
        <x:f>IF(A84="","",ROUND((Z84+AA84)*10+X84*100-AB84*8,1))</x:f>
      </x:c>
      <x:c r="AD84" s="269"/>
      <x:c r="AE84" s="270" t="n">
        <x:f>IF(T84="",0,(S84*(1-XLOOKUP(T84,'平台参数'!$A$5:$A$9,'平台参数'!$F$5:$F$9,0)-XLOOKUP(T84,'平台参数'!$A$5:$A$9,'平台参数'!$G$5:$G$9,0))-XLOOKUP(T84,'平台参数'!$A$5:$A$9,'平台参数'!$I$5:$I$9,0))/1.18)</x:f>
        <x:v>0</x:v>
      </x:c>
      <x:c r="AF84" s="273" t="str">
        <x:f>IF(A84="","",IFERROR(MAX(_xlfn._xlws.FILTER('实时行情'!$H$5:$H$124,'实时行情'!$A$5:$A$124=A84)),TODAY()))</x:f>
      </x:c>
      <x:c r="AG84" s="274"/>
    </x:row>
    <x:row r="85">
      <x:c r="A85" s="268"/>
      <x:c r="B85" s="269"/>
      <x:c r="C85" s="269"/>
      <x:c r="D85" s="269"/>
      <x:c r="E85" s="269"/>
      <x:c r="F85" s="269"/>
      <x:c r="G85" s="270" t="n">
        <x:f>SUMIFS('实时行情'!$D$5:$D$124,'实时行情'!$A$5:$A$124,$A85,'实时行情'!$C$5:$C$124,"eBay")</x:f>
        <x:v>0</x:v>
      </x:c>
      <x:c r="H85" s="270" t="n">
        <x:f>SUMIFS('实时行情'!$D$5:$D$124,'实时行情'!$A$5:$A$124,$A85,'实时行情'!$C$5:$C$124,"ALT")</x:f>
        <x:v>0</x:v>
      </x:c>
      <x:c r="I85" s="270" t="n">
        <x:f>SUMIFS('实时行情'!$D$5:$D$124,'实时行情'!$A$5:$A$124,$A85,'实时行情'!$C$5:$C$124,"Card Hobby")</x:f>
        <x:v>0</x:v>
      </x:c>
      <x:c r="J85" s="270" t="n">
        <x:f>SUMIFS('实时行情'!$D$5:$D$124,'实时行情'!$A$5:$A$124,$A85,'实时行情'!$C$5:$C$124,"Fanatics Collect")</x:f>
        <x:v>0</x:v>
      </x:c>
      <x:c r="K85" s="270" t="n">
        <x:f>SUMIFS('实时行情'!$D$5:$D$124,'实时行情'!$A$5:$A$124,$A85,'实时行情'!$C$5:$C$124,"PokerColor")</x:f>
        <x:v>0</x:v>
      </x:c>
      <x:c r="L85" s="270" t="n">
        <x:f>SUMIFS('实时行情'!$E$5:$E$124,'实时行情'!$A$5:$A$124,$A85,'实时行情'!$C$5:$C$124,"eBay")</x:f>
        <x:v>0</x:v>
      </x:c>
      <x:c r="M85" s="270" t="n">
        <x:f>SUMIFS('实时行情'!$E$5:$E$124,'实时行情'!$A$5:$A$124,$A85,'实时行情'!$C$5:$C$124,"ALT")</x:f>
        <x:v>0</x:v>
      </x:c>
      <x:c r="N85" s="270" t="n">
        <x:f>SUMIFS('实时行情'!$E$5:$E$124,'实时行情'!$A$5:$A$124,$A85,'实时行情'!$C$5:$C$124,"Card Hobby")</x:f>
        <x:v>0</x:v>
      </x:c>
      <x:c r="O85" s="270" t="n">
        <x:f>SUMIFS('实时行情'!$E$5:$E$124,'实时行情'!$A$5:$A$124,$A85,'实时行情'!$C$5:$C$124,"Fanatics Collect")</x:f>
        <x:v>0</x:v>
      </x:c>
      <x:c r="P85" s="270" t="n">
        <x:f>SUMIFS('实时行情'!$E$5:$E$124,'实时行情'!$A$5:$A$124,$A85,'实时行情'!$C$5:$C$124,"PokerColor")</x:f>
        <x:v>0</x:v>
      </x:c>
      <x:c r="Q85" s="270" t="n">
        <x:f>IFERROR(MIN(_xlfn._xlws.FILTER(G85:K85,G85:K85&gt;0)),0)</x:f>
        <x:v>0</x:v>
      </x:c>
      <x:c r="R85" s="270" t="str">
        <x:f>IF(Q85=0,"",SUBSTITUTE(SUBSTITUTE(INDEX($G$4:$K$4,1,MATCH(Q85,G85:K85,0)),"买价",""),"Fanatics","Fanatics Collect"))</x:f>
      </x:c>
      <x:c r="S85" s="270" t="n">
        <x:f>IFERROR(MAX(_xlfn._xlws.FILTER(L85:P85,L85:P85&gt;0)),0)</x:f>
        <x:v>0</x:v>
      </x:c>
      <x:c r="T85" s="270" t="str">
        <x:f>IF(S85=0,"",SUBSTITUTE(SUBSTITUTE(INDEX($L$4:$P$4,1,MATCH(S85,L85:P85,0)),"卖价",""),"Fanatics","Fanatics Collect"))</x:f>
      </x:c>
      <x:c r="U85" s="270" t="n">
        <x:f>IF(Q85=0,0,Q85*(1+XLOOKUP(R85,'平台参数'!$A$5:$A$9,'平台参数'!$E$5:$E$9,0)+XLOOKUP(R85,'平台参数'!$A$5:$A$9,'平台参数'!$G$5:$G$9,0))+XLOOKUP(R85,'平台参数'!$A$5:$A$9,'平台参数'!$H$5:$H$9,0))</x:f>
        <x:v>0</x:v>
      </x:c>
      <x:c r="V85" s="270" t="n">
        <x:f>IF(S85=0,0,S85*(1-XLOOKUP(T85,'平台参数'!$A$5:$A$9,'平台参数'!$F$5:$F$9,0)-XLOOKUP(T85,'平台参数'!$A$5:$A$9,'平台参数'!$G$5:$G$9,0))-XLOOKUP(T85,'平台参数'!$A$5:$A$9,'平台参数'!$I$5:$I$9,0))</x:f>
        <x:v>0</x:v>
      </x:c>
      <x:c r="W85" s="270" t="n">
        <x:f>V85-U85</x:f>
        <x:v>0</x:v>
      </x:c>
      <x:c r="X85" s="271" t="n">
        <x:f>IFERROR(W85/U85,0)</x:f>
        <x:v>0</x:v>
      </x:c>
      <x:c r="Y85" s="271" t="n">
        <x:f>IFERROR((S85-Q85)/Q85,0)</x:f>
        <x:v>0</x:v>
      </x:c>
      <x:c r="Z85" s="272"/>
      <x:c r="AA85" s="272"/>
      <x:c r="AB85" s="272"/>
      <x:c r="AC85" s="272" t="str">
        <x:f>IF(A85="","",ROUND((Z85+AA85)*10+X85*100-AB85*8,1))</x:f>
      </x:c>
      <x:c r="AD85" s="269"/>
      <x:c r="AE85" s="270" t="n">
        <x:f>IF(T85="",0,(S85*(1-XLOOKUP(T85,'平台参数'!$A$5:$A$9,'平台参数'!$F$5:$F$9,0)-XLOOKUP(T85,'平台参数'!$A$5:$A$9,'平台参数'!$G$5:$G$9,0))-XLOOKUP(T85,'平台参数'!$A$5:$A$9,'平台参数'!$I$5:$I$9,0))/1.18)</x:f>
        <x:v>0</x:v>
      </x:c>
      <x:c r="AF85" s="273" t="str">
        <x:f>IF(A85="","",IFERROR(MAX(_xlfn._xlws.FILTER('实时行情'!$H$5:$H$124,'实时行情'!$A$5:$A$124=A85)),TODAY()))</x:f>
      </x:c>
      <x:c r="AG85" s="274"/>
    </x:row>
    <x:row r="86">
      <x:c r="A86" s="268"/>
      <x:c r="B86" s="269"/>
      <x:c r="C86" s="269"/>
      <x:c r="D86" s="269"/>
      <x:c r="E86" s="269"/>
      <x:c r="F86" s="269"/>
      <x:c r="G86" s="270" t="n">
        <x:f>SUMIFS('实时行情'!$D$5:$D$124,'实时行情'!$A$5:$A$124,$A86,'实时行情'!$C$5:$C$124,"eBay")</x:f>
        <x:v>0</x:v>
      </x:c>
      <x:c r="H86" s="270" t="n">
        <x:f>SUMIFS('实时行情'!$D$5:$D$124,'实时行情'!$A$5:$A$124,$A86,'实时行情'!$C$5:$C$124,"ALT")</x:f>
        <x:v>0</x:v>
      </x:c>
      <x:c r="I86" s="270" t="n">
        <x:f>SUMIFS('实时行情'!$D$5:$D$124,'实时行情'!$A$5:$A$124,$A86,'实时行情'!$C$5:$C$124,"Card Hobby")</x:f>
        <x:v>0</x:v>
      </x:c>
      <x:c r="J86" s="270" t="n">
        <x:f>SUMIFS('实时行情'!$D$5:$D$124,'实时行情'!$A$5:$A$124,$A86,'实时行情'!$C$5:$C$124,"Fanatics Collect")</x:f>
        <x:v>0</x:v>
      </x:c>
      <x:c r="K86" s="270" t="n">
        <x:f>SUMIFS('实时行情'!$D$5:$D$124,'实时行情'!$A$5:$A$124,$A86,'实时行情'!$C$5:$C$124,"PokerColor")</x:f>
        <x:v>0</x:v>
      </x:c>
      <x:c r="L86" s="270" t="n">
        <x:f>SUMIFS('实时行情'!$E$5:$E$124,'实时行情'!$A$5:$A$124,$A86,'实时行情'!$C$5:$C$124,"eBay")</x:f>
        <x:v>0</x:v>
      </x:c>
      <x:c r="M86" s="270" t="n">
        <x:f>SUMIFS('实时行情'!$E$5:$E$124,'实时行情'!$A$5:$A$124,$A86,'实时行情'!$C$5:$C$124,"ALT")</x:f>
        <x:v>0</x:v>
      </x:c>
      <x:c r="N86" s="270" t="n">
        <x:f>SUMIFS('实时行情'!$E$5:$E$124,'实时行情'!$A$5:$A$124,$A86,'实时行情'!$C$5:$C$124,"Card Hobby")</x:f>
        <x:v>0</x:v>
      </x:c>
      <x:c r="O86" s="270" t="n">
        <x:f>SUMIFS('实时行情'!$E$5:$E$124,'实时行情'!$A$5:$A$124,$A86,'实时行情'!$C$5:$C$124,"Fanatics Collect")</x:f>
        <x:v>0</x:v>
      </x:c>
      <x:c r="P86" s="270" t="n">
        <x:f>SUMIFS('实时行情'!$E$5:$E$124,'实时行情'!$A$5:$A$124,$A86,'实时行情'!$C$5:$C$124,"PokerColor")</x:f>
        <x:v>0</x:v>
      </x:c>
      <x:c r="Q86" s="270" t="n">
        <x:f>IFERROR(MIN(_xlfn._xlws.FILTER(G86:K86,G86:K86&gt;0)),0)</x:f>
        <x:v>0</x:v>
      </x:c>
      <x:c r="R86" s="270" t="str">
        <x:f>IF(Q86=0,"",SUBSTITUTE(SUBSTITUTE(INDEX($G$4:$K$4,1,MATCH(Q86,G86:K86,0)),"买价",""),"Fanatics","Fanatics Collect"))</x:f>
      </x:c>
      <x:c r="S86" s="270" t="n">
        <x:f>IFERROR(MAX(_xlfn._xlws.FILTER(L86:P86,L86:P86&gt;0)),0)</x:f>
        <x:v>0</x:v>
      </x:c>
      <x:c r="T86" s="270" t="str">
        <x:f>IF(S86=0,"",SUBSTITUTE(SUBSTITUTE(INDEX($L$4:$P$4,1,MATCH(S86,L86:P86,0)),"卖价",""),"Fanatics","Fanatics Collect"))</x:f>
      </x:c>
      <x:c r="U86" s="270" t="n">
        <x:f>IF(Q86=0,0,Q86*(1+XLOOKUP(R86,'平台参数'!$A$5:$A$9,'平台参数'!$E$5:$E$9,0)+XLOOKUP(R86,'平台参数'!$A$5:$A$9,'平台参数'!$G$5:$G$9,0))+XLOOKUP(R86,'平台参数'!$A$5:$A$9,'平台参数'!$H$5:$H$9,0))</x:f>
        <x:v>0</x:v>
      </x:c>
      <x:c r="V86" s="270" t="n">
        <x:f>IF(S86=0,0,S86*(1-XLOOKUP(T86,'平台参数'!$A$5:$A$9,'平台参数'!$F$5:$F$9,0)-XLOOKUP(T86,'平台参数'!$A$5:$A$9,'平台参数'!$G$5:$G$9,0))-XLOOKUP(T86,'平台参数'!$A$5:$A$9,'平台参数'!$I$5:$I$9,0))</x:f>
        <x:v>0</x:v>
      </x:c>
      <x:c r="W86" s="270" t="n">
        <x:f>V86-U86</x:f>
        <x:v>0</x:v>
      </x:c>
      <x:c r="X86" s="271" t="n">
        <x:f>IFERROR(W86/U86,0)</x:f>
        <x:v>0</x:v>
      </x:c>
      <x:c r="Y86" s="271" t="n">
        <x:f>IFERROR((S86-Q86)/Q86,0)</x:f>
        <x:v>0</x:v>
      </x:c>
      <x:c r="Z86" s="272"/>
      <x:c r="AA86" s="272"/>
      <x:c r="AB86" s="272"/>
      <x:c r="AC86" s="272" t="str">
        <x:f>IF(A86="","",ROUND((Z86+AA86)*10+X86*100-AB86*8,1))</x:f>
      </x:c>
      <x:c r="AD86" s="269"/>
      <x:c r="AE86" s="270" t="n">
        <x:f>IF(T86="",0,(S86*(1-XLOOKUP(T86,'平台参数'!$A$5:$A$9,'平台参数'!$F$5:$F$9,0)-XLOOKUP(T86,'平台参数'!$A$5:$A$9,'平台参数'!$G$5:$G$9,0))-XLOOKUP(T86,'平台参数'!$A$5:$A$9,'平台参数'!$I$5:$I$9,0))/1.18)</x:f>
        <x:v>0</x:v>
      </x:c>
      <x:c r="AF86" s="273" t="str">
        <x:f>IF(A86="","",IFERROR(MAX(_xlfn._xlws.FILTER('实时行情'!$H$5:$H$124,'实时行情'!$A$5:$A$124=A86)),TODAY()))</x:f>
      </x:c>
      <x:c r="AG86" s="274"/>
    </x:row>
    <x:row r="87">
      <x:c r="A87" s="268"/>
      <x:c r="B87" s="269"/>
      <x:c r="C87" s="269"/>
      <x:c r="D87" s="269"/>
      <x:c r="E87" s="269"/>
      <x:c r="F87" s="269"/>
      <x:c r="G87" s="270" t="n">
        <x:f>SUMIFS('实时行情'!$D$5:$D$124,'实时行情'!$A$5:$A$124,$A87,'实时行情'!$C$5:$C$124,"eBay")</x:f>
        <x:v>0</x:v>
      </x:c>
      <x:c r="H87" s="270" t="n">
        <x:f>SUMIFS('实时行情'!$D$5:$D$124,'实时行情'!$A$5:$A$124,$A87,'实时行情'!$C$5:$C$124,"ALT")</x:f>
        <x:v>0</x:v>
      </x:c>
      <x:c r="I87" s="270" t="n">
        <x:f>SUMIFS('实时行情'!$D$5:$D$124,'实时行情'!$A$5:$A$124,$A87,'实时行情'!$C$5:$C$124,"Card Hobby")</x:f>
        <x:v>0</x:v>
      </x:c>
      <x:c r="J87" s="270" t="n">
        <x:f>SUMIFS('实时行情'!$D$5:$D$124,'实时行情'!$A$5:$A$124,$A87,'实时行情'!$C$5:$C$124,"Fanatics Collect")</x:f>
        <x:v>0</x:v>
      </x:c>
      <x:c r="K87" s="270" t="n">
        <x:f>SUMIFS('实时行情'!$D$5:$D$124,'实时行情'!$A$5:$A$124,$A87,'实时行情'!$C$5:$C$124,"PokerColor")</x:f>
        <x:v>0</x:v>
      </x:c>
      <x:c r="L87" s="270" t="n">
        <x:f>SUMIFS('实时行情'!$E$5:$E$124,'实时行情'!$A$5:$A$124,$A87,'实时行情'!$C$5:$C$124,"eBay")</x:f>
        <x:v>0</x:v>
      </x:c>
      <x:c r="M87" s="270" t="n">
        <x:f>SUMIFS('实时行情'!$E$5:$E$124,'实时行情'!$A$5:$A$124,$A87,'实时行情'!$C$5:$C$124,"ALT")</x:f>
        <x:v>0</x:v>
      </x:c>
      <x:c r="N87" s="270" t="n">
        <x:f>SUMIFS('实时行情'!$E$5:$E$124,'实时行情'!$A$5:$A$124,$A87,'实时行情'!$C$5:$C$124,"Card Hobby")</x:f>
        <x:v>0</x:v>
      </x:c>
      <x:c r="O87" s="270" t="n">
        <x:f>SUMIFS('实时行情'!$E$5:$E$124,'实时行情'!$A$5:$A$124,$A87,'实时行情'!$C$5:$C$124,"Fanatics Collect")</x:f>
        <x:v>0</x:v>
      </x:c>
      <x:c r="P87" s="270" t="n">
        <x:f>SUMIFS('实时行情'!$E$5:$E$124,'实时行情'!$A$5:$A$124,$A87,'实时行情'!$C$5:$C$124,"PokerColor")</x:f>
        <x:v>0</x:v>
      </x:c>
      <x:c r="Q87" s="270" t="n">
        <x:f>IFERROR(MIN(_xlfn._xlws.FILTER(G87:K87,G87:K87&gt;0)),0)</x:f>
        <x:v>0</x:v>
      </x:c>
      <x:c r="R87" s="270" t="str">
        <x:f>IF(Q87=0,"",SUBSTITUTE(SUBSTITUTE(INDEX($G$4:$K$4,1,MATCH(Q87,G87:K87,0)),"买价",""),"Fanatics","Fanatics Collect"))</x:f>
      </x:c>
      <x:c r="S87" s="270" t="n">
        <x:f>IFERROR(MAX(_xlfn._xlws.FILTER(L87:P87,L87:P87&gt;0)),0)</x:f>
        <x:v>0</x:v>
      </x:c>
      <x:c r="T87" s="270" t="str">
        <x:f>IF(S87=0,"",SUBSTITUTE(SUBSTITUTE(INDEX($L$4:$P$4,1,MATCH(S87,L87:P87,0)),"卖价",""),"Fanatics","Fanatics Collect"))</x:f>
      </x:c>
      <x:c r="U87" s="270" t="n">
        <x:f>IF(Q87=0,0,Q87*(1+XLOOKUP(R87,'平台参数'!$A$5:$A$9,'平台参数'!$E$5:$E$9,0)+XLOOKUP(R87,'平台参数'!$A$5:$A$9,'平台参数'!$G$5:$G$9,0))+XLOOKUP(R87,'平台参数'!$A$5:$A$9,'平台参数'!$H$5:$H$9,0))</x:f>
        <x:v>0</x:v>
      </x:c>
      <x:c r="V87" s="270" t="n">
        <x:f>IF(S87=0,0,S87*(1-XLOOKUP(T87,'平台参数'!$A$5:$A$9,'平台参数'!$F$5:$F$9,0)-XLOOKUP(T87,'平台参数'!$A$5:$A$9,'平台参数'!$G$5:$G$9,0))-XLOOKUP(T87,'平台参数'!$A$5:$A$9,'平台参数'!$I$5:$I$9,0))</x:f>
        <x:v>0</x:v>
      </x:c>
      <x:c r="W87" s="270" t="n">
        <x:f>V87-U87</x:f>
        <x:v>0</x:v>
      </x:c>
      <x:c r="X87" s="271" t="n">
        <x:f>IFERROR(W87/U87,0)</x:f>
        <x:v>0</x:v>
      </x:c>
      <x:c r="Y87" s="271" t="n">
        <x:f>IFERROR((S87-Q87)/Q87,0)</x:f>
        <x:v>0</x:v>
      </x:c>
      <x:c r="Z87" s="272"/>
      <x:c r="AA87" s="272"/>
      <x:c r="AB87" s="272"/>
      <x:c r="AC87" s="272" t="str">
        <x:f>IF(A87="","",ROUND((Z87+AA87)*10+X87*100-AB87*8,1))</x:f>
      </x:c>
      <x:c r="AD87" s="269"/>
      <x:c r="AE87" s="270" t="n">
        <x:f>IF(T87="",0,(S87*(1-XLOOKUP(T87,'平台参数'!$A$5:$A$9,'平台参数'!$F$5:$F$9,0)-XLOOKUP(T87,'平台参数'!$A$5:$A$9,'平台参数'!$G$5:$G$9,0))-XLOOKUP(T87,'平台参数'!$A$5:$A$9,'平台参数'!$I$5:$I$9,0))/1.18)</x:f>
        <x:v>0</x:v>
      </x:c>
      <x:c r="AF87" s="273" t="str">
        <x:f>IF(A87="","",IFERROR(MAX(_xlfn._xlws.FILTER('实时行情'!$H$5:$H$124,'实时行情'!$A$5:$A$124=A87)),TODAY()))</x:f>
      </x:c>
      <x:c r="AG87" s="274"/>
    </x:row>
    <x:row r="88">
      <x:c r="A88" s="268"/>
      <x:c r="B88" s="269"/>
      <x:c r="C88" s="269"/>
      <x:c r="D88" s="269"/>
      <x:c r="E88" s="269"/>
      <x:c r="F88" s="269"/>
      <x:c r="G88" s="270" t="n">
        <x:f>SUMIFS('实时行情'!$D$5:$D$124,'实时行情'!$A$5:$A$124,$A88,'实时行情'!$C$5:$C$124,"eBay")</x:f>
        <x:v>0</x:v>
      </x:c>
      <x:c r="H88" s="270" t="n">
        <x:f>SUMIFS('实时行情'!$D$5:$D$124,'实时行情'!$A$5:$A$124,$A88,'实时行情'!$C$5:$C$124,"ALT")</x:f>
        <x:v>0</x:v>
      </x:c>
      <x:c r="I88" s="270" t="n">
        <x:f>SUMIFS('实时行情'!$D$5:$D$124,'实时行情'!$A$5:$A$124,$A88,'实时行情'!$C$5:$C$124,"Card Hobby")</x:f>
        <x:v>0</x:v>
      </x:c>
      <x:c r="J88" s="270" t="n">
        <x:f>SUMIFS('实时行情'!$D$5:$D$124,'实时行情'!$A$5:$A$124,$A88,'实时行情'!$C$5:$C$124,"Fanatics Collect")</x:f>
        <x:v>0</x:v>
      </x:c>
      <x:c r="K88" s="270" t="n">
        <x:f>SUMIFS('实时行情'!$D$5:$D$124,'实时行情'!$A$5:$A$124,$A88,'实时行情'!$C$5:$C$124,"PokerColor")</x:f>
        <x:v>0</x:v>
      </x:c>
      <x:c r="L88" s="270" t="n">
        <x:f>SUMIFS('实时行情'!$E$5:$E$124,'实时行情'!$A$5:$A$124,$A88,'实时行情'!$C$5:$C$124,"eBay")</x:f>
        <x:v>0</x:v>
      </x:c>
      <x:c r="M88" s="270" t="n">
        <x:f>SUMIFS('实时行情'!$E$5:$E$124,'实时行情'!$A$5:$A$124,$A88,'实时行情'!$C$5:$C$124,"ALT")</x:f>
        <x:v>0</x:v>
      </x:c>
      <x:c r="N88" s="270" t="n">
        <x:f>SUMIFS('实时行情'!$E$5:$E$124,'实时行情'!$A$5:$A$124,$A88,'实时行情'!$C$5:$C$124,"Card Hobby")</x:f>
        <x:v>0</x:v>
      </x:c>
      <x:c r="O88" s="270" t="n">
        <x:f>SUMIFS('实时行情'!$E$5:$E$124,'实时行情'!$A$5:$A$124,$A88,'实时行情'!$C$5:$C$124,"Fanatics Collect")</x:f>
        <x:v>0</x:v>
      </x:c>
      <x:c r="P88" s="270" t="n">
        <x:f>SUMIFS('实时行情'!$E$5:$E$124,'实时行情'!$A$5:$A$124,$A88,'实时行情'!$C$5:$C$124,"PokerColor")</x:f>
        <x:v>0</x:v>
      </x:c>
      <x:c r="Q88" s="270" t="n">
        <x:f>IFERROR(MIN(_xlfn._xlws.FILTER(G88:K88,G88:K88&gt;0)),0)</x:f>
        <x:v>0</x:v>
      </x:c>
      <x:c r="R88" s="270" t="str">
        <x:f>IF(Q88=0,"",SUBSTITUTE(SUBSTITUTE(INDEX($G$4:$K$4,1,MATCH(Q88,G88:K88,0)),"买价",""),"Fanatics","Fanatics Collect"))</x:f>
      </x:c>
      <x:c r="S88" s="270" t="n">
        <x:f>IFERROR(MAX(_xlfn._xlws.FILTER(L88:P88,L88:P88&gt;0)),0)</x:f>
        <x:v>0</x:v>
      </x:c>
      <x:c r="T88" s="270" t="str">
        <x:f>IF(S88=0,"",SUBSTITUTE(SUBSTITUTE(INDEX($L$4:$P$4,1,MATCH(S88,L88:P88,0)),"卖价",""),"Fanatics","Fanatics Collect"))</x:f>
      </x:c>
      <x:c r="U88" s="270" t="n">
        <x:f>IF(Q88=0,0,Q88*(1+XLOOKUP(R88,'平台参数'!$A$5:$A$9,'平台参数'!$E$5:$E$9,0)+XLOOKUP(R88,'平台参数'!$A$5:$A$9,'平台参数'!$G$5:$G$9,0))+XLOOKUP(R88,'平台参数'!$A$5:$A$9,'平台参数'!$H$5:$H$9,0))</x:f>
        <x:v>0</x:v>
      </x:c>
      <x:c r="V88" s="270" t="n">
        <x:f>IF(S88=0,0,S88*(1-XLOOKUP(T88,'平台参数'!$A$5:$A$9,'平台参数'!$F$5:$F$9,0)-XLOOKUP(T88,'平台参数'!$A$5:$A$9,'平台参数'!$G$5:$G$9,0))-XLOOKUP(T88,'平台参数'!$A$5:$A$9,'平台参数'!$I$5:$I$9,0))</x:f>
        <x:v>0</x:v>
      </x:c>
      <x:c r="W88" s="270" t="n">
        <x:f>V88-U88</x:f>
        <x:v>0</x:v>
      </x:c>
      <x:c r="X88" s="271" t="n">
        <x:f>IFERROR(W88/U88,0)</x:f>
        <x:v>0</x:v>
      </x:c>
      <x:c r="Y88" s="271" t="n">
        <x:f>IFERROR((S88-Q88)/Q88,0)</x:f>
        <x:v>0</x:v>
      </x:c>
      <x:c r="Z88" s="272"/>
      <x:c r="AA88" s="272"/>
      <x:c r="AB88" s="272"/>
      <x:c r="AC88" s="272" t="str">
        <x:f>IF(A88="","",ROUND((Z88+AA88)*10+X88*100-AB88*8,1))</x:f>
      </x:c>
      <x:c r="AD88" s="269"/>
      <x:c r="AE88" s="270" t="n">
        <x:f>IF(T88="",0,(S88*(1-XLOOKUP(T88,'平台参数'!$A$5:$A$9,'平台参数'!$F$5:$F$9,0)-XLOOKUP(T88,'平台参数'!$A$5:$A$9,'平台参数'!$G$5:$G$9,0))-XLOOKUP(T88,'平台参数'!$A$5:$A$9,'平台参数'!$I$5:$I$9,0))/1.18)</x:f>
        <x:v>0</x:v>
      </x:c>
      <x:c r="AF88" s="273" t="str">
        <x:f>IF(A88="","",IFERROR(MAX(_xlfn._xlws.FILTER('实时行情'!$H$5:$H$124,'实时行情'!$A$5:$A$124=A88)),TODAY()))</x:f>
      </x:c>
      <x:c r="AG88" s="274"/>
    </x:row>
    <x:row r="89">
      <x:c r="A89" s="268"/>
      <x:c r="B89" s="269"/>
      <x:c r="C89" s="269"/>
      <x:c r="D89" s="269"/>
      <x:c r="E89" s="269"/>
      <x:c r="F89" s="269"/>
      <x:c r="G89" s="270" t="n">
        <x:f>SUMIFS('实时行情'!$D$5:$D$124,'实时行情'!$A$5:$A$124,$A89,'实时行情'!$C$5:$C$124,"eBay")</x:f>
        <x:v>0</x:v>
      </x:c>
      <x:c r="H89" s="270" t="n">
        <x:f>SUMIFS('实时行情'!$D$5:$D$124,'实时行情'!$A$5:$A$124,$A89,'实时行情'!$C$5:$C$124,"ALT")</x:f>
        <x:v>0</x:v>
      </x:c>
      <x:c r="I89" s="270" t="n">
        <x:f>SUMIFS('实时行情'!$D$5:$D$124,'实时行情'!$A$5:$A$124,$A89,'实时行情'!$C$5:$C$124,"Card Hobby")</x:f>
        <x:v>0</x:v>
      </x:c>
      <x:c r="J89" s="270" t="n">
        <x:f>SUMIFS('实时行情'!$D$5:$D$124,'实时行情'!$A$5:$A$124,$A89,'实时行情'!$C$5:$C$124,"Fanatics Collect")</x:f>
        <x:v>0</x:v>
      </x:c>
      <x:c r="K89" s="270" t="n">
        <x:f>SUMIFS('实时行情'!$D$5:$D$124,'实时行情'!$A$5:$A$124,$A89,'实时行情'!$C$5:$C$124,"PokerColor")</x:f>
        <x:v>0</x:v>
      </x:c>
      <x:c r="L89" s="270" t="n">
        <x:f>SUMIFS('实时行情'!$E$5:$E$124,'实时行情'!$A$5:$A$124,$A89,'实时行情'!$C$5:$C$124,"eBay")</x:f>
        <x:v>0</x:v>
      </x:c>
      <x:c r="M89" s="270" t="n">
        <x:f>SUMIFS('实时行情'!$E$5:$E$124,'实时行情'!$A$5:$A$124,$A89,'实时行情'!$C$5:$C$124,"ALT")</x:f>
        <x:v>0</x:v>
      </x:c>
      <x:c r="N89" s="270" t="n">
        <x:f>SUMIFS('实时行情'!$E$5:$E$124,'实时行情'!$A$5:$A$124,$A89,'实时行情'!$C$5:$C$124,"Card Hobby")</x:f>
        <x:v>0</x:v>
      </x:c>
      <x:c r="O89" s="270" t="n">
        <x:f>SUMIFS('实时行情'!$E$5:$E$124,'实时行情'!$A$5:$A$124,$A89,'实时行情'!$C$5:$C$124,"Fanatics Collect")</x:f>
        <x:v>0</x:v>
      </x:c>
      <x:c r="P89" s="270" t="n">
        <x:f>SUMIFS('实时行情'!$E$5:$E$124,'实时行情'!$A$5:$A$124,$A89,'实时行情'!$C$5:$C$124,"PokerColor")</x:f>
        <x:v>0</x:v>
      </x:c>
      <x:c r="Q89" s="270" t="n">
        <x:f>IFERROR(MIN(_xlfn._xlws.FILTER(G89:K89,G89:K89&gt;0)),0)</x:f>
        <x:v>0</x:v>
      </x:c>
      <x:c r="R89" s="270" t="str">
        <x:f>IF(Q89=0,"",SUBSTITUTE(SUBSTITUTE(INDEX($G$4:$K$4,1,MATCH(Q89,G89:K89,0)),"买价",""),"Fanatics","Fanatics Collect"))</x:f>
      </x:c>
      <x:c r="S89" s="270" t="n">
        <x:f>IFERROR(MAX(_xlfn._xlws.FILTER(L89:P89,L89:P89&gt;0)),0)</x:f>
        <x:v>0</x:v>
      </x:c>
      <x:c r="T89" s="270" t="str">
        <x:f>IF(S89=0,"",SUBSTITUTE(SUBSTITUTE(INDEX($L$4:$P$4,1,MATCH(S89,L89:P89,0)),"卖价",""),"Fanatics","Fanatics Collect"))</x:f>
      </x:c>
      <x:c r="U89" s="270" t="n">
        <x:f>IF(Q89=0,0,Q89*(1+XLOOKUP(R89,'平台参数'!$A$5:$A$9,'平台参数'!$E$5:$E$9,0)+XLOOKUP(R89,'平台参数'!$A$5:$A$9,'平台参数'!$G$5:$G$9,0))+XLOOKUP(R89,'平台参数'!$A$5:$A$9,'平台参数'!$H$5:$H$9,0))</x:f>
        <x:v>0</x:v>
      </x:c>
      <x:c r="V89" s="270" t="n">
        <x:f>IF(S89=0,0,S89*(1-XLOOKUP(T89,'平台参数'!$A$5:$A$9,'平台参数'!$F$5:$F$9,0)-XLOOKUP(T89,'平台参数'!$A$5:$A$9,'平台参数'!$G$5:$G$9,0))-XLOOKUP(T89,'平台参数'!$A$5:$A$9,'平台参数'!$I$5:$I$9,0))</x:f>
        <x:v>0</x:v>
      </x:c>
      <x:c r="W89" s="270" t="n">
        <x:f>V89-U89</x:f>
        <x:v>0</x:v>
      </x:c>
      <x:c r="X89" s="271" t="n">
        <x:f>IFERROR(W89/U89,0)</x:f>
        <x:v>0</x:v>
      </x:c>
      <x:c r="Y89" s="271" t="n">
        <x:f>IFERROR((S89-Q89)/Q89,0)</x:f>
        <x:v>0</x:v>
      </x:c>
      <x:c r="Z89" s="272"/>
      <x:c r="AA89" s="272"/>
      <x:c r="AB89" s="272"/>
      <x:c r="AC89" s="272" t="str">
        <x:f>IF(A89="","",ROUND((Z89+AA89)*10+X89*100-AB89*8,1))</x:f>
      </x:c>
      <x:c r="AD89" s="269"/>
      <x:c r="AE89" s="270" t="n">
        <x:f>IF(T89="",0,(S89*(1-XLOOKUP(T89,'平台参数'!$A$5:$A$9,'平台参数'!$F$5:$F$9,0)-XLOOKUP(T89,'平台参数'!$A$5:$A$9,'平台参数'!$G$5:$G$9,0))-XLOOKUP(T89,'平台参数'!$A$5:$A$9,'平台参数'!$I$5:$I$9,0))/1.18)</x:f>
        <x:v>0</x:v>
      </x:c>
      <x:c r="AF89" s="273" t="str">
        <x:f>IF(A89="","",IFERROR(MAX(_xlfn._xlws.FILTER('实时行情'!$H$5:$H$124,'实时行情'!$A$5:$A$124=A89)),TODAY()))</x:f>
      </x:c>
      <x:c r="AG89" s="274"/>
    </x:row>
    <x:row r="90">
      <x:c r="A90" s="268"/>
      <x:c r="B90" s="269"/>
      <x:c r="C90" s="269"/>
      <x:c r="D90" s="269"/>
      <x:c r="E90" s="269"/>
      <x:c r="F90" s="269"/>
      <x:c r="G90" s="270" t="n">
        <x:f>SUMIFS('实时行情'!$D$5:$D$124,'实时行情'!$A$5:$A$124,$A90,'实时行情'!$C$5:$C$124,"eBay")</x:f>
        <x:v>0</x:v>
      </x:c>
      <x:c r="H90" s="270" t="n">
        <x:f>SUMIFS('实时行情'!$D$5:$D$124,'实时行情'!$A$5:$A$124,$A90,'实时行情'!$C$5:$C$124,"ALT")</x:f>
        <x:v>0</x:v>
      </x:c>
      <x:c r="I90" s="270" t="n">
        <x:f>SUMIFS('实时行情'!$D$5:$D$124,'实时行情'!$A$5:$A$124,$A90,'实时行情'!$C$5:$C$124,"Card Hobby")</x:f>
        <x:v>0</x:v>
      </x:c>
      <x:c r="J90" s="270" t="n">
        <x:f>SUMIFS('实时行情'!$D$5:$D$124,'实时行情'!$A$5:$A$124,$A90,'实时行情'!$C$5:$C$124,"Fanatics Collect")</x:f>
        <x:v>0</x:v>
      </x:c>
      <x:c r="K90" s="270" t="n">
        <x:f>SUMIFS('实时行情'!$D$5:$D$124,'实时行情'!$A$5:$A$124,$A90,'实时行情'!$C$5:$C$124,"PokerColor")</x:f>
        <x:v>0</x:v>
      </x:c>
      <x:c r="L90" s="270" t="n">
        <x:f>SUMIFS('实时行情'!$E$5:$E$124,'实时行情'!$A$5:$A$124,$A90,'实时行情'!$C$5:$C$124,"eBay")</x:f>
        <x:v>0</x:v>
      </x:c>
      <x:c r="M90" s="270" t="n">
        <x:f>SUMIFS('实时行情'!$E$5:$E$124,'实时行情'!$A$5:$A$124,$A90,'实时行情'!$C$5:$C$124,"ALT")</x:f>
        <x:v>0</x:v>
      </x:c>
      <x:c r="N90" s="270" t="n">
        <x:f>SUMIFS('实时行情'!$E$5:$E$124,'实时行情'!$A$5:$A$124,$A90,'实时行情'!$C$5:$C$124,"Card Hobby")</x:f>
        <x:v>0</x:v>
      </x:c>
      <x:c r="O90" s="270" t="n">
        <x:f>SUMIFS('实时行情'!$E$5:$E$124,'实时行情'!$A$5:$A$124,$A90,'实时行情'!$C$5:$C$124,"Fanatics Collect")</x:f>
        <x:v>0</x:v>
      </x:c>
      <x:c r="P90" s="270" t="n">
        <x:f>SUMIFS('实时行情'!$E$5:$E$124,'实时行情'!$A$5:$A$124,$A90,'实时行情'!$C$5:$C$124,"PokerColor")</x:f>
        <x:v>0</x:v>
      </x:c>
      <x:c r="Q90" s="270" t="n">
        <x:f>IFERROR(MIN(_xlfn._xlws.FILTER(G90:K90,G90:K90&gt;0)),0)</x:f>
        <x:v>0</x:v>
      </x:c>
      <x:c r="R90" s="270" t="str">
        <x:f>IF(Q90=0,"",SUBSTITUTE(SUBSTITUTE(INDEX($G$4:$K$4,1,MATCH(Q90,G90:K90,0)),"买价",""),"Fanatics","Fanatics Collect"))</x:f>
      </x:c>
      <x:c r="S90" s="270" t="n">
        <x:f>IFERROR(MAX(_xlfn._xlws.FILTER(L90:P90,L90:P90&gt;0)),0)</x:f>
        <x:v>0</x:v>
      </x:c>
      <x:c r="T90" s="270" t="str">
        <x:f>IF(S90=0,"",SUBSTITUTE(SUBSTITUTE(INDEX($L$4:$P$4,1,MATCH(S90,L90:P90,0)),"卖价",""),"Fanatics","Fanatics Collect"))</x:f>
      </x:c>
      <x:c r="U90" s="270" t="n">
        <x:f>IF(Q90=0,0,Q90*(1+XLOOKUP(R90,'平台参数'!$A$5:$A$9,'平台参数'!$E$5:$E$9,0)+XLOOKUP(R90,'平台参数'!$A$5:$A$9,'平台参数'!$G$5:$G$9,0))+XLOOKUP(R90,'平台参数'!$A$5:$A$9,'平台参数'!$H$5:$H$9,0))</x:f>
        <x:v>0</x:v>
      </x:c>
      <x:c r="V90" s="270" t="n">
        <x:f>IF(S90=0,0,S90*(1-XLOOKUP(T90,'平台参数'!$A$5:$A$9,'平台参数'!$F$5:$F$9,0)-XLOOKUP(T90,'平台参数'!$A$5:$A$9,'平台参数'!$G$5:$G$9,0))-XLOOKUP(T90,'平台参数'!$A$5:$A$9,'平台参数'!$I$5:$I$9,0))</x:f>
        <x:v>0</x:v>
      </x:c>
      <x:c r="W90" s="270" t="n">
        <x:f>V90-U90</x:f>
        <x:v>0</x:v>
      </x:c>
      <x:c r="X90" s="271" t="n">
        <x:f>IFERROR(W90/U90,0)</x:f>
        <x:v>0</x:v>
      </x:c>
      <x:c r="Y90" s="271" t="n">
        <x:f>IFERROR((S90-Q90)/Q90,0)</x:f>
        <x:v>0</x:v>
      </x:c>
      <x:c r="Z90" s="272"/>
      <x:c r="AA90" s="272"/>
      <x:c r="AB90" s="272"/>
      <x:c r="AC90" s="272" t="str">
        <x:f>IF(A90="","",ROUND((Z90+AA90)*10+X90*100-AB90*8,1))</x:f>
      </x:c>
      <x:c r="AD90" s="269"/>
      <x:c r="AE90" s="270" t="n">
        <x:f>IF(T90="",0,(S90*(1-XLOOKUP(T90,'平台参数'!$A$5:$A$9,'平台参数'!$F$5:$F$9,0)-XLOOKUP(T90,'平台参数'!$A$5:$A$9,'平台参数'!$G$5:$G$9,0))-XLOOKUP(T90,'平台参数'!$A$5:$A$9,'平台参数'!$I$5:$I$9,0))/1.18)</x:f>
        <x:v>0</x:v>
      </x:c>
      <x:c r="AF90" s="273" t="str">
        <x:f>IF(A90="","",IFERROR(MAX(_xlfn._xlws.FILTER('实时行情'!$H$5:$H$124,'实时行情'!$A$5:$A$124=A90)),TODAY()))</x:f>
      </x:c>
      <x:c r="AG90" s="274"/>
    </x:row>
    <x:row r="91">
      <x:c r="A91" s="268"/>
      <x:c r="B91" s="269"/>
      <x:c r="C91" s="269"/>
      <x:c r="D91" s="269"/>
      <x:c r="E91" s="269"/>
      <x:c r="F91" s="269"/>
      <x:c r="G91" s="270" t="n">
        <x:f>SUMIFS('实时行情'!$D$5:$D$124,'实时行情'!$A$5:$A$124,$A91,'实时行情'!$C$5:$C$124,"eBay")</x:f>
        <x:v>0</x:v>
      </x:c>
      <x:c r="H91" s="270" t="n">
        <x:f>SUMIFS('实时行情'!$D$5:$D$124,'实时行情'!$A$5:$A$124,$A91,'实时行情'!$C$5:$C$124,"ALT")</x:f>
        <x:v>0</x:v>
      </x:c>
      <x:c r="I91" s="270" t="n">
        <x:f>SUMIFS('实时行情'!$D$5:$D$124,'实时行情'!$A$5:$A$124,$A91,'实时行情'!$C$5:$C$124,"Card Hobby")</x:f>
        <x:v>0</x:v>
      </x:c>
      <x:c r="J91" s="270" t="n">
        <x:f>SUMIFS('实时行情'!$D$5:$D$124,'实时行情'!$A$5:$A$124,$A91,'实时行情'!$C$5:$C$124,"Fanatics Collect")</x:f>
        <x:v>0</x:v>
      </x:c>
      <x:c r="K91" s="270" t="n">
        <x:f>SUMIFS('实时行情'!$D$5:$D$124,'实时行情'!$A$5:$A$124,$A91,'实时行情'!$C$5:$C$124,"PokerColor")</x:f>
        <x:v>0</x:v>
      </x:c>
      <x:c r="L91" s="270" t="n">
        <x:f>SUMIFS('实时行情'!$E$5:$E$124,'实时行情'!$A$5:$A$124,$A91,'实时行情'!$C$5:$C$124,"eBay")</x:f>
        <x:v>0</x:v>
      </x:c>
      <x:c r="M91" s="270" t="n">
        <x:f>SUMIFS('实时行情'!$E$5:$E$124,'实时行情'!$A$5:$A$124,$A91,'实时行情'!$C$5:$C$124,"ALT")</x:f>
        <x:v>0</x:v>
      </x:c>
      <x:c r="N91" s="270" t="n">
        <x:f>SUMIFS('实时行情'!$E$5:$E$124,'实时行情'!$A$5:$A$124,$A91,'实时行情'!$C$5:$C$124,"Card Hobby")</x:f>
        <x:v>0</x:v>
      </x:c>
      <x:c r="O91" s="270" t="n">
        <x:f>SUMIFS('实时行情'!$E$5:$E$124,'实时行情'!$A$5:$A$124,$A91,'实时行情'!$C$5:$C$124,"Fanatics Collect")</x:f>
        <x:v>0</x:v>
      </x:c>
      <x:c r="P91" s="270" t="n">
        <x:f>SUMIFS('实时行情'!$E$5:$E$124,'实时行情'!$A$5:$A$124,$A91,'实时行情'!$C$5:$C$124,"PokerColor")</x:f>
        <x:v>0</x:v>
      </x:c>
      <x:c r="Q91" s="270" t="n">
        <x:f>IFERROR(MIN(_xlfn._xlws.FILTER(G91:K91,G91:K91&gt;0)),0)</x:f>
        <x:v>0</x:v>
      </x:c>
      <x:c r="R91" s="270" t="str">
        <x:f>IF(Q91=0,"",SUBSTITUTE(SUBSTITUTE(INDEX($G$4:$K$4,1,MATCH(Q91,G91:K91,0)),"买价",""),"Fanatics","Fanatics Collect"))</x:f>
      </x:c>
      <x:c r="S91" s="270" t="n">
        <x:f>IFERROR(MAX(_xlfn._xlws.FILTER(L91:P91,L91:P91&gt;0)),0)</x:f>
        <x:v>0</x:v>
      </x:c>
      <x:c r="T91" s="270" t="str">
        <x:f>IF(S91=0,"",SUBSTITUTE(SUBSTITUTE(INDEX($L$4:$P$4,1,MATCH(S91,L91:P91,0)),"卖价",""),"Fanatics","Fanatics Collect"))</x:f>
      </x:c>
      <x:c r="U91" s="270" t="n">
        <x:f>IF(Q91=0,0,Q91*(1+XLOOKUP(R91,'平台参数'!$A$5:$A$9,'平台参数'!$E$5:$E$9,0)+XLOOKUP(R91,'平台参数'!$A$5:$A$9,'平台参数'!$G$5:$G$9,0))+XLOOKUP(R91,'平台参数'!$A$5:$A$9,'平台参数'!$H$5:$H$9,0))</x:f>
        <x:v>0</x:v>
      </x:c>
      <x:c r="V91" s="270" t="n">
        <x:f>IF(S91=0,0,S91*(1-XLOOKUP(T91,'平台参数'!$A$5:$A$9,'平台参数'!$F$5:$F$9,0)-XLOOKUP(T91,'平台参数'!$A$5:$A$9,'平台参数'!$G$5:$G$9,0))-XLOOKUP(T91,'平台参数'!$A$5:$A$9,'平台参数'!$I$5:$I$9,0))</x:f>
        <x:v>0</x:v>
      </x:c>
      <x:c r="W91" s="270" t="n">
        <x:f>V91-U91</x:f>
        <x:v>0</x:v>
      </x:c>
      <x:c r="X91" s="271" t="n">
        <x:f>IFERROR(W91/U91,0)</x:f>
        <x:v>0</x:v>
      </x:c>
      <x:c r="Y91" s="271" t="n">
        <x:f>IFERROR((S91-Q91)/Q91,0)</x:f>
        <x:v>0</x:v>
      </x:c>
      <x:c r="Z91" s="272"/>
      <x:c r="AA91" s="272"/>
      <x:c r="AB91" s="272"/>
      <x:c r="AC91" s="272" t="str">
        <x:f>IF(A91="","",ROUND((Z91+AA91)*10+X91*100-AB91*8,1))</x:f>
      </x:c>
      <x:c r="AD91" s="269"/>
      <x:c r="AE91" s="270" t="n">
        <x:f>IF(T91="",0,(S91*(1-XLOOKUP(T91,'平台参数'!$A$5:$A$9,'平台参数'!$F$5:$F$9,0)-XLOOKUP(T91,'平台参数'!$A$5:$A$9,'平台参数'!$G$5:$G$9,0))-XLOOKUP(T91,'平台参数'!$A$5:$A$9,'平台参数'!$I$5:$I$9,0))/1.18)</x:f>
        <x:v>0</x:v>
      </x:c>
      <x:c r="AF91" s="273" t="str">
        <x:f>IF(A91="","",IFERROR(MAX(_xlfn._xlws.FILTER('实时行情'!$H$5:$H$124,'实时行情'!$A$5:$A$124=A91)),TODAY()))</x:f>
      </x:c>
      <x:c r="AG91" s="274"/>
    </x:row>
    <x:row r="92">
      <x:c r="A92" s="268"/>
      <x:c r="B92" s="269"/>
      <x:c r="C92" s="269"/>
      <x:c r="D92" s="269"/>
      <x:c r="E92" s="269"/>
      <x:c r="F92" s="269"/>
      <x:c r="G92" s="270" t="n">
        <x:f>SUMIFS('实时行情'!$D$5:$D$124,'实时行情'!$A$5:$A$124,$A92,'实时行情'!$C$5:$C$124,"eBay")</x:f>
        <x:v>0</x:v>
      </x:c>
      <x:c r="H92" s="270" t="n">
        <x:f>SUMIFS('实时行情'!$D$5:$D$124,'实时行情'!$A$5:$A$124,$A92,'实时行情'!$C$5:$C$124,"ALT")</x:f>
        <x:v>0</x:v>
      </x:c>
      <x:c r="I92" s="270" t="n">
        <x:f>SUMIFS('实时行情'!$D$5:$D$124,'实时行情'!$A$5:$A$124,$A92,'实时行情'!$C$5:$C$124,"Card Hobby")</x:f>
        <x:v>0</x:v>
      </x:c>
      <x:c r="J92" s="270" t="n">
        <x:f>SUMIFS('实时行情'!$D$5:$D$124,'实时行情'!$A$5:$A$124,$A92,'实时行情'!$C$5:$C$124,"Fanatics Collect")</x:f>
        <x:v>0</x:v>
      </x:c>
      <x:c r="K92" s="270" t="n">
        <x:f>SUMIFS('实时行情'!$D$5:$D$124,'实时行情'!$A$5:$A$124,$A92,'实时行情'!$C$5:$C$124,"PokerColor")</x:f>
        <x:v>0</x:v>
      </x:c>
      <x:c r="L92" s="270" t="n">
        <x:f>SUMIFS('实时行情'!$E$5:$E$124,'实时行情'!$A$5:$A$124,$A92,'实时行情'!$C$5:$C$124,"eBay")</x:f>
        <x:v>0</x:v>
      </x:c>
      <x:c r="M92" s="270" t="n">
        <x:f>SUMIFS('实时行情'!$E$5:$E$124,'实时行情'!$A$5:$A$124,$A92,'实时行情'!$C$5:$C$124,"ALT")</x:f>
        <x:v>0</x:v>
      </x:c>
      <x:c r="N92" s="270" t="n">
        <x:f>SUMIFS('实时行情'!$E$5:$E$124,'实时行情'!$A$5:$A$124,$A92,'实时行情'!$C$5:$C$124,"Card Hobby")</x:f>
        <x:v>0</x:v>
      </x:c>
      <x:c r="O92" s="270" t="n">
        <x:f>SUMIFS('实时行情'!$E$5:$E$124,'实时行情'!$A$5:$A$124,$A92,'实时行情'!$C$5:$C$124,"Fanatics Collect")</x:f>
        <x:v>0</x:v>
      </x:c>
      <x:c r="P92" s="270" t="n">
        <x:f>SUMIFS('实时行情'!$E$5:$E$124,'实时行情'!$A$5:$A$124,$A92,'实时行情'!$C$5:$C$124,"PokerColor")</x:f>
        <x:v>0</x:v>
      </x:c>
      <x:c r="Q92" s="270" t="n">
        <x:f>IFERROR(MIN(_xlfn._xlws.FILTER(G92:K92,G92:K92&gt;0)),0)</x:f>
        <x:v>0</x:v>
      </x:c>
      <x:c r="R92" s="270" t="str">
        <x:f>IF(Q92=0,"",SUBSTITUTE(SUBSTITUTE(INDEX($G$4:$K$4,1,MATCH(Q92,G92:K92,0)),"买价",""),"Fanatics","Fanatics Collect"))</x:f>
      </x:c>
      <x:c r="S92" s="270" t="n">
        <x:f>IFERROR(MAX(_xlfn._xlws.FILTER(L92:P92,L92:P92&gt;0)),0)</x:f>
        <x:v>0</x:v>
      </x:c>
      <x:c r="T92" s="270" t="str">
        <x:f>IF(S92=0,"",SUBSTITUTE(SUBSTITUTE(INDEX($L$4:$P$4,1,MATCH(S92,L92:P92,0)),"卖价",""),"Fanatics","Fanatics Collect"))</x:f>
      </x:c>
      <x:c r="U92" s="270" t="n">
        <x:f>IF(Q92=0,0,Q92*(1+XLOOKUP(R92,'平台参数'!$A$5:$A$9,'平台参数'!$E$5:$E$9,0)+XLOOKUP(R92,'平台参数'!$A$5:$A$9,'平台参数'!$G$5:$G$9,0))+XLOOKUP(R92,'平台参数'!$A$5:$A$9,'平台参数'!$H$5:$H$9,0))</x:f>
        <x:v>0</x:v>
      </x:c>
      <x:c r="V92" s="270" t="n">
        <x:f>IF(S92=0,0,S92*(1-XLOOKUP(T92,'平台参数'!$A$5:$A$9,'平台参数'!$F$5:$F$9,0)-XLOOKUP(T92,'平台参数'!$A$5:$A$9,'平台参数'!$G$5:$G$9,0))-XLOOKUP(T92,'平台参数'!$A$5:$A$9,'平台参数'!$I$5:$I$9,0))</x:f>
        <x:v>0</x:v>
      </x:c>
      <x:c r="W92" s="270" t="n">
        <x:f>V92-U92</x:f>
        <x:v>0</x:v>
      </x:c>
      <x:c r="X92" s="271" t="n">
        <x:f>IFERROR(W92/U92,0)</x:f>
        <x:v>0</x:v>
      </x:c>
      <x:c r="Y92" s="271" t="n">
        <x:f>IFERROR((S92-Q92)/Q92,0)</x:f>
        <x:v>0</x:v>
      </x:c>
      <x:c r="Z92" s="272"/>
      <x:c r="AA92" s="272"/>
      <x:c r="AB92" s="272"/>
      <x:c r="AC92" s="272" t="str">
        <x:f>IF(A92="","",ROUND((Z92+AA92)*10+X92*100-AB92*8,1))</x:f>
      </x:c>
      <x:c r="AD92" s="269"/>
      <x:c r="AE92" s="270" t="n">
        <x:f>IF(T92="",0,(S92*(1-XLOOKUP(T92,'平台参数'!$A$5:$A$9,'平台参数'!$F$5:$F$9,0)-XLOOKUP(T92,'平台参数'!$A$5:$A$9,'平台参数'!$G$5:$G$9,0))-XLOOKUP(T92,'平台参数'!$A$5:$A$9,'平台参数'!$I$5:$I$9,0))/1.18)</x:f>
        <x:v>0</x:v>
      </x:c>
      <x:c r="AF92" s="273" t="str">
        <x:f>IF(A92="","",IFERROR(MAX(_xlfn._xlws.FILTER('实时行情'!$H$5:$H$124,'实时行情'!$A$5:$A$124=A92)),TODAY()))</x:f>
      </x:c>
      <x:c r="AG92" s="274"/>
    </x:row>
    <x:row r="93">
      <x:c r="A93" s="268"/>
      <x:c r="B93" s="269"/>
      <x:c r="C93" s="269"/>
      <x:c r="D93" s="269"/>
      <x:c r="E93" s="269"/>
      <x:c r="F93" s="269"/>
      <x:c r="G93" s="270" t="n">
        <x:f>SUMIFS('实时行情'!$D$5:$D$124,'实时行情'!$A$5:$A$124,$A93,'实时行情'!$C$5:$C$124,"eBay")</x:f>
        <x:v>0</x:v>
      </x:c>
      <x:c r="H93" s="270" t="n">
        <x:f>SUMIFS('实时行情'!$D$5:$D$124,'实时行情'!$A$5:$A$124,$A93,'实时行情'!$C$5:$C$124,"ALT")</x:f>
        <x:v>0</x:v>
      </x:c>
      <x:c r="I93" s="270" t="n">
        <x:f>SUMIFS('实时行情'!$D$5:$D$124,'实时行情'!$A$5:$A$124,$A93,'实时行情'!$C$5:$C$124,"Card Hobby")</x:f>
        <x:v>0</x:v>
      </x:c>
      <x:c r="J93" s="270" t="n">
        <x:f>SUMIFS('实时行情'!$D$5:$D$124,'实时行情'!$A$5:$A$124,$A93,'实时行情'!$C$5:$C$124,"Fanatics Collect")</x:f>
        <x:v>0</x:v>
      </x:c>
      <x:c r="K93" s="270" t="n">
        <x:f>SUMIFS('实时行情'!$D$5:$D$124,'实时行情'!$A$5:$A$124,$A93,'实时行情'!$C$5:$C$124,"PokerColor")</x:f>
        <x:v>0</x:v>
      </x:c>
      <x:c r="L93" s="270" t="n">
        <x:f>SUMIFS('实时行情'!$E$5:$E$124,'实时行情'!$A$5:$A$124,$A93,'实时行情'!$C$5:$C$124,"eBay")</x:f>
        <x:v>0</x:v>
      </x:c>
      <x:c r="M93" s="270" t="n">
        <x:f>SUMIFS('实时行情'!$E$5:$E$124,'实时行情'!$A$5:$A$124,$A93,'实时行情'!$C$5:$C$124,"ALT")</x:f>
        <x:v>0</x:v>
      </x:c>
      <x:c r="N93" s="270" t="n">
        <x:f>SUMIFS('实时行情'!$E$5:$E$124,'实时行情'!$A$5:$A$124,$A93,'实时行情'!$C$5:$C$124,"Card Hobby")</x:f>
        <x:v>0</x:v>
      </x:c>
      <x:c r="O93" s="270" t="n">
        <x:f>SUMIFS('实时行情'!$E$5:$E$124,'实时行情'!$A$5:$A$124,$A93,'实时行情'!$C$5:$C$124,"Fanatics Collect")</x:f>
        <x:v>0</x:v>
      </x:c>
      <x:c r="P93" s="270" t="n">
        <x:f>SUMIFS('实时行情'!$E$5:$E$124,'实时行情'!$A$5:$A$124,$A93,'实时行情'!$C$5:$C$124,"PokerColor")</x:f>
        <x:v>0</x:v>
      </x:c>
      <x:c r="Q93" s="270" t="n">
        <x:f>IFERROR(MIN(_xlfn._xlws.FILTER(G93:K93,G93:K93&gt;0)),0)</x:f>
        <x:v>0</x:v>
      </x:c>
      <x:c r="R93" s="270" t="str">
        <x:f>IF(Q93=0,"",SUBSTITUTE(SUBSTITUTE(INDEX($G$4:$K$4,1,MATCH(Q93,G93:K93,0)),"买价",""),"Fanatics","Fanatics Collect"))</x:f>
      </x:c>
      <x:c r="S93" s="270" t="n">
        <x:f>IFERROR(MAX(_xlfn._xlws.FILTER(L93:P93,L93:P93&gt;0)),0)</x:f>
        <x:v>0</x:v>
      </x:c>
      <x:c r="T93" s="270" t="str">
        <x:f>IF(S93=0,"",SUBSTITUTE(SUBSTITUTE(INDEX($L$4:$P$4,1,MATCH(S93,L93:P93,0)),"卖价",""),"Fanatics","Fanatics Collect"))</x:f>
      </x:c>
      <x:c r="U93" s="270" t="n">
        <x:f>IF(Q93=0,0,Q93*(1+XLOOKUP(R93,'平台参数'!$A$5:$A$9,'平台参数'!$E$5:$E$9,0)+XLOOKUP(R93,'平台参数'!$A$5:$A$9,'平台参数'!$G$5:$G$9,0))+XLOOKUP(R93,'平台参数'!$A$5:$A$9,'平台参数'!$H$5:$H$9,0))</x:f>
        <x:v>0</x:v>
      </x:c>
      <x:c r="V93" s="270" t="n">
        <x:f>IF(S93=0,0,S93*(1-XLOOKUP(T93,'平台参数'!$A$5:$A$9,'平台参数'!$F$5:$F$9,0)-XLOOKUP(T93,'平台参数'!$A$5:$A$9,'平台参数'!$G$5:$G$9,0))-XLOOKUP(T93,'平台参数'!$A$5:$A$9,'平台参数'!$I$5:$I$9,0))</x:f>
        <x:v>0</x:v>
      </x:c>
      <x:c r="W93" s="270" t="n">
        <x:f>V93-U93</x:f>
        <x:v>0</x:v>
      </x:c>
      <x:c r="X93" s="271" t="n">
        <x:f>IFERROR(W93/U93,0)</x:f>
        <x:v>0</x:v>
      </x:c>
      <x:c r="Y93" s="271" t="n">
        <x:f>IFERROR((S93-Q93)/Q93,0)</x:f>
        <x:v>0</x:v>
      </x:c>
      <x:c r="Z93" s="272"/>
      <x:c r="AA93" s="272"/>
      <x:c r="AB93" s="272"/>
      <x:c r="AC93" s="272" t="str">
        <x:f>IF(A93="","",ROUND((Z93+AA93)*10+X93*100-AB93*8,1))</x:f>
      </x:c>
      <x:c r="AD93" s="269"/>
      <x:c r="AE93" s="270" t="n">
        <x:f>IF(T93="",0,(S93*(1-XLOOKUP(T93,'平台参数'!$A$5:$A$9,'平台参数'!$F$5:$F$9,0)-XLOOKUP(T93,'平台参数'!$A$5:$A$9,'平台参数'!$G$5:$G$9,0))-XLOOKUP(T93,'平台参数'!$A$5:$A$9,'平台参数'!$I$5:$I$9,0))/1.18)</x:f>
        <x:v>0</x:v>
      </x:c>
      <x:c r="AF93" s="273" t="str">
        <x:f>IF(A93="","",IFERROR(MAX(_xlfn._xlws.FILTER('实时行情'!$H$5:$H$124,'实时行情'!$A$5:$A$124=A93)),TODAY()))</x:f>
      </x:c>
      <x:c r="AG93" s="274"/>
    </x:row>
    <x:row r="94">
      <x:c r="A94" s="268"/>
      <x:c r="B94" s="269"/>
      <x:c r="C94" s="269"/>
      <x:c r="D94" s="269"/>
      <x:c r="E94" s="269"/>
      <x:c r="F94" s="269"/>
      <x:c r="G94" s="270" t="n">
        <x:f>SUMIFS('实时行情'!$D$5:$D$124,'实时行情'!$A$5:$A$124,$A94,'实时行情'!$C$5:$C$124,"eBay")</x:f>
        <x:v>0</x:v>
      </x:c>
      <x:c r="H94" s="270" t="n">
        <x:f>SUMIFS('实时行情'!$D$5:$D$124,'实时行情'!$A$5:$A$124,$A94,'实时行情'!$C$5:$C$124,"ALT")</x:f>
        <x:v>0</x:v>
      </x:c>
      <x:c r="I94" s="270" t="n">
        <x:f>SUMIFS('实时行情'!$D$5:$D$124,'实时行情'!$A$5:$A$124,$A94,'实时行情'!$C$5:$C$124,"Card Hobby")</x:f>
        <x:v>0</x:v>
      </x:c>
      <x:c r="J94" s="270" t="n">
        <x:f>SUMIFS('实时行情'!$D$5:$D$124,'实时行情'!$A$5:$A$124,$A94,'实时行情'!$C$5:$C$124,"Fanatics Collect")</x:f>
        <x:v>0</x:v>
      </x:c>
      <x:c r="K94" s="270" t="n">
        <x:f>SUMIFS('实时行情'!$D$5:$D$124,'实时行情'!$A$5:$A$124,$A94,'实时行情'!$C$5:$C$124,"PokerColor")</x:f>
        <x:v>0</x:v>
      </x:c>
      <x:c r="L94" s="270" t="n">
        <x:f>SUMIFS('实时行情'!$E$5:$E$124,'实时行情'!$A$5:$A$124,$A94,'实时行情'!$C$5:$C$124,"eBay")</x:f>
        <x:v>0</x:v>
      </x:c>
      <x:c r="M94" s="270" t="n">
        <x:f>SUMIFS('实时行情'!$E$5:$E$124,'实时行情'!$A$5:$A$124,$A94,'实时行情'!$C$5:$C$124,"ALT")</x:f>
        <x:v>0</x:v>
      </x:c>
      <x:c r="N94" s="270" t="n">
        <x:f>SUMIFS('实时行情'!$E$5:$E$124,'实时行情'!$A$5:$A$124,$A94,'实时行情'!$C$5:$C$124,"Card Hobby")</x:f>
        <x:v>0</x:v>
      </x:c>
      <x:c r="O94" s="270" t="n">
        <x:f>SUMIFS('实时行情'!$E$5:$E$124,'实时行情'!$A$5:$A$124,$A94,'实时行情'!$C$5:$C$124,"Fanatics Collect")</x:f>
        <x:v>0</x:v>
      </x:c>
      <x:c r="P94" s="270" t="n">
        <x:f>SUMIFS('实时行情'!$E$5:$E$124,'实时行情'!$A$5:$A$124,$A94,'实时行情'!$C$5:$C$124,"PokerColor")</x:f>
        <x:v>0</x:v>
      </x:c>
      <x:c r="Q94" s="270" t="n">
        <x:f>IFERROR(MIN(_xlfn._xlws.FILTER(G94:K94,G94:K94&gt;0)),0)</x:f>
        <x:v>0</x:v>
      </x:c>
      <x:c r="R94" s="270" t="str">
        <x:f>IF(Q94=0,"",SUBSTITUTE(SUBSTITUTE(INDEX($G$4:$K$4,1,MATCH(Q94,G94:K94,0)),"买价",""),"Fanatics","Fanatics Collect"))</x:f>
      </x:c>
      <x:c r="S94" s="270" t="n">
        <x:f>IFERROR(MAX(_xlfn._xlws.FILTER(L94:P94,L94:P94&gt;0)),0)</x:f>
        <x:v>0</x:v>
      </x:c>
      <x:c r="T94" s="270" t="str">
        <x:f>IF(S94=0,"",SUBSTITUTE(SUBSTITUTE(INDEX($L$4:$P$4,1,MATCH(S94,L94:P94,0)),"卖价",""),"Fanatics","Fanatics Collect"))</x:f>
      </x:c>
      <x:c r="U94" s="270" t="n">
        <x:f>IF(Q94=0,0,Q94*(1+XLOOKUP(R94,'平台参数'!$A$5:$A$9,'平台参数'!$E$5:$E$9,0)+XLOOKUP(R94,'平台参数'!$A$5:$A$9,'平台参数'!$G$5:$G$9,0))+XLOOKUP(R94,'平台参数'!$A$5:$A$9,'平台参数'!$H$5:$H$9,0))</x:f>
        <x:v>0</x:v>
      </x:c>
      <x:c r="V94" s="270" t="n">
        <x:f>IF(S94=0,0,S94*(1-XLOOKUP(T94,'平台参数'!$A$5:$A$9,'平台参数'!$F$5:$F$9,0)-XLOOKUP(T94,'平台参数'!$A$5:$A$9,'平台参数'!$G$5:$G$9,0))-XLOOKUP(T94,'平台参数'!$A$5:$A$9,'平台参数'!$I$5:$I$9,0))</x:f>
        <x:v>0</x:v>
      </x:c>
      <x:c r="W94" s="270" t="n">
        <x:f>V94-U94</x:f>
        <x:v>0</x:v>
      </x:c>
      <x:c r="X94" s="271" t="n">
        <x:f>IFERROR(W94/U94,0)</x:f>
        <x:v>0</x:v>
      </x:c>
      <x:c r="Y94" s="271" t="n">
        <x:f>IFERROR((S94-Q94)/Q94,0)</x:f>
        <x:v>0</x:v>
      </x:c>
      <x:c r="Z94" s="272"/>
      <x:c r="AA94" s="272"/>
      <x:c r="AB94" s="272"/>
      <x:c r="AC94" s="272" t="str">
        <x:f>IF(A94="","",ROUND((Z94+AA94)*10+X94*100-AB94*8,1))</x:f>
      </x:c>
      <x:c r="AD94" s="269"/>
      <x:c r="AE94" s="270" t="n">
        <x:f>IF(T94="",0,(S94*(1-XLOOKUP(T94,'平台参数'!$A$5:$A$9,'平台参数'!$F$5:$F$9,0)-XLOOKUP(T94,'平台参数'!$A$5:$A$9,'平台参数'!$G$5:$G$9,0))-XLOOKUP(T94,'平台参数'!$A$5:$A$9,'平台参数'!$I$5:$I$9,0))/1.18)</x:f>
        <x:v>0</x:v>
      </x:c>
      <x:c r="AF94" s="273" t="str">
        <x:f>IF(A94="","",IFERROR(MAX(_xlfn._xlws.FILTER('实时行情'!$H$5:$H$124,'实时行情'!$A$5:$A$124=A94)),TODAY()))</x:f>
      </x:c>
      <x:c r="AG94" s="274"/>
    </x:row>
    <x:row r="95">
      <x:c r="A95" s="268"/>
      <x:c r="B95" s="269"/>
      <x:c r="C95" s="269"/>
      <x:c r="D95" s="269"/>
      <x:c r="E95" s="269"/>
      <x:c r="F95" s="269"/>
      <x:c r="G95" s="270" t="n">
        <x:f>SUMIFS('实时行情'!$D$5:$D$124,'实时行情'!$A$5:$A$124,$A95,'实时行情'!$C$5:$C$124,"eBay")</x:f>
        <x:v>0</x:v>
      </x:c>
      <x:c r="H95" s="270" t="n">
        <x:f>SUMIFS('实时行情'!$D$5:$D$124,'实时行情'!$A$5:$A$124,$A95,'实时行情'!$C$5:$C$124,"ALT")</x:f>
        <x:v>0</x:v>
      </x:c>
      <x:c r="I95" s="270" t="n">
        <x:f>SUMIFS('实时行情'!$D$5:$D$124,'实时行情'!$A$5:$A$124,$A95,'实时行情'!$C$5:$C$124,"Card Hobby")</x:f>
        <x:v>0</x:v>
      </x:c>
      <x:c r="J95" s="270" t="n">
        <x:f>SUMIFS('实时行情'!$D$5:$D$124,'实时行情'!$A$5:$A$124,$A95,'实时行情'!$C$5:$C$124,"Fanatics Collect")</x:f>
        <x:v>0</x:v>
      </x:c>
      <x:c r="K95" s="270" t="n">
        <x:f>SUMIFS('实时行情'!$D$5:$D$124,'实时行情'!$A$5:$A$124,$A95,'实时行情'!$C$5:$C$124,"PokerColor")</x:f>
        <x:v>0</x:v>
      </x:c>
      <x:c r="L95" s="270" t="n">
        <x:f>SUMIFS('实时行情'!$E$5:$E$124,'实时行情'!$A$5:$A$124,$A95,'实时行情'!$C$5:$C$124,"eBay")</x:f>
        <x:v>0</x:v>
      </x:c>
      <x:c r="M95" s="270" t="n">
        <x:f>SUMIFS('实时行情'!$E$5:$E$124,'实时行情'!$A$5:$A$124,$A95,'实时行情'!$C$5:$C$124,"ALT")</x:f>
        <x:v>0</x:v>
      </x:c>
      <x:c r="N95" s="270" t="n">
        <x:f>SUMIFS('实时行情'!$E$5:$E$124,'实时行情'!$A$5:$A$124,$A95,'实时行情'!$C$5:$C$124,"Card Hobby")</x:f>
        <x:v>0</x:v>
      </x:c>
      <x:c r="O95" s="270" t="n">
        <x:f>SUMIFS('实时行情'!$E$5:$E$124,'实时行情'!$A$5:$A$124,$A95,'实时行情'!$C$5:$C$124,"Fanatics Collect")</x:f>
        <x:v>0</x:v>
      </x:c>
      <x:c r="P95" s="270" t="n">
        <x:f>SUMIFS('实时行情'!$E$5:$E$124,'实时行情'!$A$5:$A$124,$A95,'实时行情'!$C$5:$C$124,"PokerColor")</x:f>
        <x:v>0</x:v>
      </x:c>
      <x:c r="Q95" s="270" t="n">
        <x:f>IFERROR(MIN(_xlfn._xlws.FILTER(G95:K95,G95:K95&gt;0)),0)</x:f>
        <x:v>0</x:v>
      </x:c>
      <x:c r="R95" s="270" t="str">
        <x:f>IF(Q95=0,"",SUBSTITUTE(SUBSTITUTE(INDEX($G$4:$K$4,1,MATCH(Q95,G95:K95,0)),"买价",""),"Fanatics","Fanatics Collect"))</x:f>
      </x:c>
      <x:c r="S95" s="270" t="n">
        <x:f>IFERROR(MAX(_xlfn._xlws.FILTER(L95:P95,L95:P95&gt;0)),0)</x:f>
        <x:v>0</x:v>
      </x:c>
      <x:c r="T95" s="270" t="str">
        <x:f>IF(S95=0,"",SUBSTITUTE(SUBSTITUTE(INDEX($L$4:$P$4,1,MATCH(S95,L95:P95,0)),"卖价",""),"Fanatics","Fanatics Collect"))</x:f>
      </x:c>
      <x:c r="U95" s="270" t="n">
        <x:f>IF(Q95=0,0,Q95*(1+XLOOKUP(R95,'平台参数'!$A$5:$A$9,'平台参数'!$E$5:$E$9,0)+XLOOKUP(R95,'平台参数'!$A$5:$A$9,'平台参数'!$G$5:$G$9,0))+XLOOKUP(R95,'平台参数'!$A$5:$A$9,'平台参数'!$H$5:$H$9,0))</x:f>
        <x:v>0</x:v>
      </x:c>
      <x:c r="V95" s="270" t="n">
        <x:f>IF(S95=0,0,S95*(1-XLOOKUP(T95,'平台参数'!$A$5:$A$9,'平台参数'!$F$5:$F$9,0)-XLOOKUP(T95,'平台参数'!$A$5:$A$9,'平台参数'!$G$5:$G$9,0))-XLOOKUP(T95,'平台参数'!$A$5:$A$9,'平台参数'!$I$5:$I$9,0))</x:f>
        <x:v>0</x:v>
      </x:c>
      <x:c r="W95" s="270" t="n">
        <x:f>V95-U95</x:f>
        <x:v>0</x:v>
      </x:c>
      <x:c r="X95" s="271" t="n">
        <x:f>IFERROR(W95/U95,0)</x:f>
        <x:v>0</x:v>
      </x:c>
      <x:c r="Y95" s="271" t="n">
        <x:f>IFERROR((S95-Q95)/Q95,0)</x:f>
        <x:v>0</x:v>
      </x:c>
      <x:c r="Z95" s="272"/>
      <x:c r="AA95" s="272"/>
      <x:c r="AB95" s="272"/>
      <x:c r="AC95" s="272" t="str">
        <x:f>IF(A95="","",ROUND((Z95+AA95)*10+X95*100-AB95*8,1))</x:f>
      </x:c>
      <x:c r="AD95" s="269"/>
      <x:c r="AE95" s="270" t="n">
        <x:f>IF(T95="",0,(S95*(1-XLOOKUP(T95,'平台参数'!$A$5:$A$9,'平台参数'!$F$5:$F$9,0)-XLOOKUP(T95,'平台参数'!$A$5:$A$9,'平台参数'!$G$5:$G$9,0))-XLOOKUP(T95,'平台参数'!$A$5:$A$9,'平台参数'!$I$5:$I$9,0))/1.18)</x:f>
        <x:v>0</x:v>
      </x:c>
      <x:c r="AF95" s="273" t="str">
        <x:f>IF(A95="","",IFERROR(MAX(_xlfn._xlws.FILTER('实时行情'!$H$5:$H$124,'实时行情'!$A$5:$A$124=A95)),TODAY()))</x:f>
      </x:c>
      <x:c r="AG95" s="274"/>
    </x:row>
    <x:row r="96">
      <x:c r="A96" s="268"/>
      <x:c r="B96" s="269"/>
      <x:c r="C96" s="269"/>
      <x:c r="D96" s="269"/>
      <x:c r="E96" s="269"/>
      <x:c r="F96" s="269"/>
      <x:c r="G96" s="270" t="n">
        <x:f>SUMIFS('实时行情'!$D$5:$D$124,'实时行情'!$A$5:$A$124,$A96,'实时行情'!$C$5:$C$124,"eBay")</x:f>
        <x:v>0</x:v>
      </x:c>
      <x:c r="H96" s="270" t="n">
        <x:f>SUMIFS('实时行情'!$D$5:$D$124,'实时行情'!$A$5:$A$124,$A96,'实时行情'!$C$5:$C$124,"ALT")</x:f>
        <x:v>0</x:v>
      </x:c>
      <x:c r="I96" s="270" t="n">
        <x:f>SUMIFS('实时行情'!$D$5:$D$124,'实时行情'!$A$5:$A$124,$A96,'实时行情'!$C$5:$C$124,"Card Hobby")</x:f>
        <x:v>0</x:v>
      </x:c>
      <x:c r="J96" s="270" t="n">
        <x:f>SUMIFS('实时行情'!$D$5:$D$124,'实时行情'!$A$5:$A$124,$A96,'实时行情'!$C$5:$C$124,"Fanatics Collect")</x:f>
        <x:v>0</x:v>
      </x:c>
      <x:c r="K96" s="270" t="n">
        <x:f>SUMIFS('实时行情'!$D$5:$D$124,'实时行情'!$A$5:$A$124,$A96,'实时行情'!$C$5:$C$124,"PokerColor")</x:f>
        <x:v>0</x:v>
      </x:c>
      <x:c r="L96" s="270" t="n">
        <x:f>SUMIFS('实时行情'!$E$5:$E$124,'实时行情'!$A$5:$A$124,$A96,'实时行情'!$C$5:$C$124,"eBay")</x:f>
        <x:v>0</x:v>
      </x:c>
      <x:c r="M96" s="270" t="n">
        <x:f>SUMIFS('实时行情'!$E$5:$E$124,'实时行情'!$A$5:$A$124,$A96,'实时行情'!$C$5:$C$124,"ALT")</x:f>
        <x:v>0</x:v>
      </x:c>
      <x:c r="N96" s="270" t="n">
        <x:f>SUMIFS('实时行情'!$E$5:$E$124,'实时行情'!$A$5:$A$124,$A96,'实时行情'!$C$5:$C$124,"Card Hobby")</x:f>
        <x:v>0</x:v>
      </x:c>
      <x:c r="O96" s="270" t="n">
        <x:f>SUMIFS('实时行情'!$E$5:$E$124,'实时行情'!$A$5:$A$124,$A96,'实时行情'!$C$5:$C$124,"Fanatics Collect")</x:f>
        <x:v>0</x:v>
      </x:c>
      <x:c r="P96" s="270" t="n">
        <x:f>SUMIFS('实时行情'!$E$5:$E$124,'实时行情'!$A$5:$A$124,$A96,'实时行情'!$C$5:$C$124,"PokerColor")</x:f>
        <x:v>0</x:v>
      </x:c>
      <x:c r="Q96" s="270" t="n">
        <x:f>IFERROR(MIN(_xlfn._xlws.FILTER(G96:K96,G96:K96&gt;0)),0)</x:f>
        <x:v>0</x:v>
      </x:c>
      <x:c r="R96" s="270" t="str">
        <x:f>IF(Q96=0,"",SUBSTITUTE(SUBSTITUTE(INDEX($G$4:$K$4,1,MATCH(Q96,G96:K96,0)),"买价",""),"Fanatics","Fanatics Collect"))</x:f>
      </x:c>
      <x:c r="S96" s="270" t="n">
        <x:f>IFERROR(MAX(_xlfn._xlws.FILTER(L96:P96,L96:P96&gt;0)),0)</x:f>
        <x:v>0</x:v>
      </x:c>
      <x:c r="T96" s="270" t="str">
        <x:f>IF(S96=0,"",SUBSTITUTE(SUBSTITUTE(INDEX($L$4:$P$4,1,MATCH(S96,L96:P96,0)),"卖价",""),"Fanatics","Fanatics Collect"))</x:f>
      </x:c>
      <x:c r="U96" s="270" t="n">
        <x:f>IF(Q96=0,0,Q96*(1+XLOOKUP(R96,'平台参数'!$A$5:$A$9,'平台参数'!$E$5:$E$9,0)+XLOOKUP(R96,'平台参数'!$A$5:$A$9,'平台参数'!$G$5:$G$9,0))+XLOOKUP(R96,'平台参数'!$A$5:$A$9,'平台参数'!$H$5:$H$9,0))</x:f>
        <x:v>0</x:v>
      </x:c>
      <x:c r="V96" s="270" t="n">
        <x:f>IF(S96=0,0,S96*(1-XLOOKUP(T96,'平台参数'!$A$5:$A$9,'平台参数'!$F$5:$F$9,0)-XLOOKUP(T96,'平台参数'!$A$5:$A$9,'平台参数'!$G$5:$G$9,0))-XLOOKUP(T96,'平台参数'!$A$5:$A$9,'平台参数'!$I$5:$I$9,0))</x:f>
        <x:v>0</x:v>
      </x:c>
      <x:c r="W96" s="270" t="n">
        <x:f>V96-U96</x:f>
        <x:v>0</x:v>
      </x:c>
      <x:c r="X96" s="271" t="n">
        <x:f>IFERROR(W96/U96,0)</x:f>
        <x:v>0</x:v>
      </x:c>
      <x:c r="Y96" s="271" t="n">
        <x:f>IFERROR((S96-Q96)/Q96,0)</x:f>
        <x:v>0</x:v>
      </x:c>
      <x:c r="Z96" s="272"/>
      <x:c r="AA96" s="272"/>
      <x:c r="AB96" s="272"/>
      <x:c r="AC96" s="272" t="str">
        <x:f>IF(A96="","",ROUND((Z96+AA96)*10+X96*100-AB96*8,1))</x:f>
      </x:c>
      <x:c r="AD96" s="269"/>
      <x:c r="AE96" s="270" t="n">
        <x:f>IF(T96="",0,(S96*(1-XLOOKUP(T96,'平台参数'!$A$5:$A$9,'平台参数'!$F$5:$F$9,0)-XLOOKUP(T96,'平台参数'!$A$5:$A$9,'平台参数'!$G$5:$G$9,0))-XLOOKUP(T96,'平台参数'!$A$5:$A$9,'平台参数'!$I$5:$I$9,0))/1.18)</x:f>
        <x:v>0</x:v>
      </x:c>
      <x:c r="AF96" s="273" t="str">
        <x:f>IF(A96="","",IFERROR(MAX(_xlfn._xlws.FILTER('实时行情'!$H$5:$H$124,'实时行情'!$A$5:$A$124=A96)),TODAY()))</x:f>
      </x:c>
      <x:c r="AG96" s="274"/>
    </x:row>
    <x:row r="97">
      <x:c r="A97" s="268"/>
      <x:c r="B97" s="269"/>
      <x:c r="C97" s="269"/>
      <x:c r="D97" s="269"/>
      <x:c r="E97" s="269"/>
      <x:c r="F97" s="269"/>
      <x:c r="G97" s="270" t="n">
        <x:f>SUMIFS('实时行情'!$D$5:$D$124,'实时行情'!$A$5:$A$124,$A97,'实时行情'!$C$5:$C$124,"eBay")</x:f>
        <x:v>0</x:v>
      </x:c>
      <x:c r="H97" s="270" t="n">
        <x:f>SUMIFS('实时行情'!$D$5:$D$124,'实时行情'!$A$5:$A$124,$A97,'实时行情'!$C$5:$C$124,"ALT")</x:f>
        <x:v>0</x:v>
      </x:c>
      <x:c r="I97" s="270" t="n">
        <x:f>SUMIFS('实时行情'!$D$5:$D$124,'实时行情'!$A$5:$A$124,$A97,'实时行情'!$C$5:$C$124,"Card Hobby")</x:f>
        <x:v>0</x:v>
      </x:c>
      <x:c r="J97" s="270" t="n">
        <x:f>SUMIFS('实时行情'!$D$5:$D$124,'实时行情'!$A$5:$A$124,$A97,'实时行情'!$C$5:$C$124,"Fanatics Collect")</x:f>
        <x:v>0</x:v>
      </x:c>
      <x:c r="K97" s="270" t="n">
        <x:f>SUMIFS('实时行情'!$D$5:$D$124,'实时行情'!$A$5:$A$124,$A97,'实时行情'!$C$5:$C$124,"PokerColor")</x:f>
        <x:v>0</x:v>
      </x:c>
      <x:c r="L97" s="270" t="n">
        <x:f>SUMIFS('实时行情'!$E$5:$E$124,'实时行情'!$A$5:$A$124,$A97,'实时行情'!$C$5:$C$124,"eBay")</x:f>
        <x:v>0</x:v>
      </x:c>
      <x:c r="M97" s="270" t="n">
        <x:f>SUMIFS('实时行情'!$E$5:$E$124,'实时行情'!$A$5:$A$124,$A97,'实时行情'!$C$5:$C$124,"ALT")</x:f>
        <x:v>0</x:v>
      </x:c>
      <x:c r="N97" s="270" t="n">
        <x:f>SUMIFS('实时行情'!$E$5:$E$124,'实时行情'!$A$5:$A$124,$A97,'实时行情'!$C$5:$C$124,"Card Hobby")</x:f>
        <x:v>0</x:v>
      </x:c>
      <x:c r="O97" s="270" t="n">
        <x:f>SUMIFS('实时行情'!$E$5:$E$124,'实时行情'!$A$5:$A$124,$A97,'实时行情'!$C$5:$C$124,"Fanatics Collect")</x:f>
        <x:v>0</x:v>
      </x:c>
      <x:c r="P97" s="270" t="n">
        <x:f>SUMIFS('实时行情'!$E$5:$E$124,'实时行情'!$A$5:$A$124,$A97,'实时行情'!$C$5:$C$124,"PokerColor")</x:f>
        <x:v>0</x:v>
      </x:c>
      <x:c r="Q97" s="270" t="n">
        <x:f>IFERROR(MIN(_xlfn._xlws.FILTER(G97:K97,G97:K97&gt;0)),0)</x:f>
        <x:v>0</x:v>
      </x:c>
      <x:c r="R97" s="270" t="str">
        <x:f>IF(Q97=0,"",SUBSTITUTE(SUBSTITUTE(INDEX($G$4:$K$4,1,MATCH(Q97,G97:K97,0)),"买价",""),"Fanatics","Fanatics Collect"))</x:f>
      </x:c>
      <x:c r="S97" s="270" t="n">
        <x:f>IFERROR(MAX(_xlfn._xlws.FILTER(L97:P97,L97:P97&gt;0)),0)</x:f>
        <x:v>0</x:v>
      </x:c>
      <x:c r="T97" s="270" t="str">
        <x:f>IF(S97=0,"",SUBSTITUTE(SUBSTITUTE(INDEX($L$4:$P$4,1,MATCH(S97,L97:P97,0)),"卖价",""),"Fanatics","Fanatics Collect"))</x:f>
      </x:c>
      <x:c r="U97" s="270" t="n">
        <x:f>IF(Q97=0,0,Q97*(1+XLOOKUP(R97,'平台参数'!$A$5:$A$9,'平台参数'!$E$5:$E$9,0)+XLOOKUP(R97,'平台参数'!$A$5:$A$9,'平台参数'!$G$5:$G$9,0))+XLOOKUP(R97,'平台参数'!$A$5:$A$9,'平台参数'!$H$5:$H$9,0))</x:f>
        <x:v>0</x:v>
      </x:c>
      <x:c r="V97" s="270" t="n">
        <x:f>IF(S97=0,0,S97*(1-XLOOKUP(T97,'平台参数'!$A$5:$A$9,'平台参数'!$F$5:$F$9,0)-XLOOKUP(T97,'平台参数'!$A$5:$A$9,'平台参数'!$G$5:$G$9,0))-XLOOKUP(T97,'平台参数'!$A$5:$A$9,'平台参数'!$I$5:$I$9,0))</x:f>
        <x:v>0</x:v>
      </x:c>
      <x:c r="W97" s="270" t="n">
        <x:f>V97-U97</x:f>
        <x:v>0</x:v>
      </x:c>
      <x:c r="X97" s="271" t="n">
        <x:f>IFERROR(W97/U97,0)</x:f>
        <x:v>0</x:v>
      </x:c>
      <x:c r="Y97" s="271" t="n">
        <x:f>IFERROR((S97-Q97)/Q97,0)</x:f>
        <x:v>0</x:v>
      </x:c>
      <x:c r="Z97" s="272"/>
      <x:c r="AA97" s="272"/>
      <x:c r="AB97" s="272"/>
      <x:c r="AC97" s="272" t="str">
        <x:f>IF(A97="","",ROUND((Z97+AA97)*10+X97*100-AB97*8,1))</x:f>
      </x:c>
      <x:c r="AD97" s="269"/>
      <x:c r="AE97" s="270" t="n">
        <x:f>IF(T97="",0,(S97*(1-XLOOKUP(T97,'平台参数'!$A$5:$A$9,'平台参数'!$F$5:$F$9,0)-XLOOKUP(T97,'平台参数'!$A$5:$A$9,'平台参数'!$G$5:$G$9,0))-XLOOKUP(T97,'平台参数'!$A$5:$A$9,'平台参数'!$I$5:$I$9,0))/1.18)</x:f>
        <x:v>0</x:v>
      </x:c>
      <x:c r="AF97" s="273" t="str">
        <x:f>IF(A97="","",IFERROR(MAX(_xlfn._xlws.FILTER('实时行情'!$H$5:$H$124,'实时行情'!$A$5:$A$124=A97)),TODAY()))</x:f>
      </x:c>
      <x:c r="AG97" s="274"/>
    </x:row>
    <x:row r="98">
      <x:c r="A98" s="268"/>
      <x:c r="B98" s="269"/>
      <x:c r="C98" s="269"/>
      <x:c r="D98" s="269"/>
      <x:c r="E98" s="269"/>
      <x:c r="F98" s="269"/>
      <x:c r="G98" s="270" t="n">
        <x:f>SUMIFS('实时行情'!$D$5:$D$124,'实时行情'!$A$5:$A$124,$A98,'实时行情'!$C$5:$C$124,"eBay")</x:f>
        <x:v>0</x:v>
      </x:c>
      <x:c r="H98" s="270" t="n">
        <x:f>SUMIFS('实时行情'!$D$5:$D$124,'实时行情'!$A$5:$A$124,$A98,'实时行情'!$C$5:$C$124,"ALT")</x:f>
        <x:v>0</x:v>
      </x:c>
      <x:c r="I98" s="270" t="n">
        <x:f>SUMIFS('实时行情'!$D$5:$D$124,'实时行情'!$A$5:$A$124,$A98,'实时行情'!$C$5:$C$124,"Card Hobby")</x:f>
        <x:v>0</x:v>
      </x:c>
      <x:c r="J98" s="270" t="n">
        <x:f>SUMIFS('实时行情'!$D$5:$D$124,'实时行情'!$A$5:$A$124,$A98,'实时行情'!$C$5:$C$124,"Fanatics Collect")</x:f>
        <x:v>0</x:v>
      </x:c>
      <x:c r="K98" s="270" t="n">
        <x:f>SUMIFS('实时行情'!$D$5:$D$124,'实时行情'!$A$5:$A$124,$A98,'实时行情'!$C$5:$C$124,"PokerColor")</x:f>
        <x:v>0</x:v>
      </x:c>
      <x:c r="L98" s="270" t="n">
        <x:f>SUMIFS('实时行情'!$E$5:$E$124,'实时行情'!$A$5:$A$124,$A98,'实时行情'!$C$5:$C$124,"eBay")</x:f>
        <x:v>0</x:v>
      </x:c>
      <x:c r="M98" s="270" t="n">
        <x:f>SUMIFS('实时行情'!$E$5:$E$124,'实时行情'!$A$5:$A$124,$A98,'实时行情'!$C$5:$C$124,"ALT")</x:f>
        <x:v>0</x:v>
      </x:c>
      <x:c r="N98" s="270" t="n">
        <x:f>SUMIFS('实时行情'!$E$5:$E$124,'实时行情'!$A$5:$A$124,$A98,'实时行情'!$C$5:$C$124,"Card Hobby")</x:f>
        <x:v>0</x:v>
      </x:c>
      <x:c r="O98" s="270" t="n">
        <x:f>SUMIFS('实时行情'!$E$5:$E$124,'实时行情'!$A$5:$A$124,$A98,'实时行情'!$C$5:$C$124,"Fanatics Collect")</x:f>
        <x:v>0</x:v>
      </x:c>
      <x:c r="P98" s="270" t="n">
        <x:f>SUMIFS('实时行情'!$E$5:$E$124,'实时行情'!$A$5:$A$124,$A98,'实时行情'!$C$5:$C$124,"PokerColor")</x:f>
        <x:v>0</x:v>
      </x:c>
      <x:c r="Q98" s="270" t="n">
        <x:f>IFERROR(MIN(_xlfn._xlws.FILTER(G98:K98,G98:K98&gt;0)),0)</x:f>
        <x:v>0</x:v>
      </x:c>
      <x:c r="R98" s="270" t="str">
        <x:f>IF(Q98=0,"",SUBSTITUTE(SUBSTITUTE(INDEX($G$4:$K$4,1,MATCH(Q98,G98:K98,0)),"买价",""),"Fanatics","Fanatics Collect"))</x:f>
      </x:c>
      <x:c r="S98" s="270" t="n">
        <x:f>IFERROR(MAX(_xlfn._xlws.FILTER(L98:P98,L98:P98&gt;0)),0)</x:f>
        <x:v>0</x:v>
      </x:c>
      <x:c r="T98" s="270" t="str">
        <x:f>IF(S98=0,"",SUBSTITUTE(SUBSTITUTE(INDEX($L$4:$P$4,1,MATCH(S98,L98:P98,0)),"卖价",""),"Fanatics","Fanatics Collect"))</x:f>
      </x:c>
      <x:c r="U98" s="270" t="n">
        <x:f>IF(Q98=0,0,Q98*(1+XLOOKUP(R98,'平台参数'!$A$5:$A$9,'平台参数'!$E$5:$E$9,0)+XLOOKUP(R98,'平台参数'!$A$5:$A$9,'平台参数'!$G$5:$G$9,0))+XLOOKUP(R98,'平台参数'!$A$5:$A$9,'平台参数'!$H$5:$H$9,0))</x:f>
        <x:v>0</x:v>
      </x:c>
      <x:c r="V98" s="270" t="n">
        <x:f>IF(S98=0,0,S98*(1-XLOOKUP(T98,'平台参数'!$A$5:$A$9,'平台参数'!$F$5:$F$9,0)-XLOOKUP(T98,'平台参数'!$A$5:$A$9,'平台参数'!$G$5:$G$9,0))-XLOOKUP(T98,'平台参数'!$A$5:$A$9,'平台参数'!$I$5:$I$9,0))</x:f>
        <x:v>0</x:v>
      </x:c>
      <x:c r="W98" s="270" t="n">
        <x:f>V98-U98</x:f>
        <x:v>0</x:v>
      </x:c>
      <x:c r="X98" s="271" t="n">
        <x:f>IFERROR(W98/U98,0)</x:f>
        <x:v>0</x:v>
      </x:c>
      <x:c r="Y98" s="271" t="n">
        <x:f>IFERROR((S98-Q98)/Q98,0)</x:f>
        <x:v>0</x:v>
      </x:c>
      <x:c r="Z98" s="272"/>
      <x:c r="AA98" s="272"/>
      <x:c r="AB98" s="272"/>
      <x:c r="AC98" s="272" t="str">
        <x:f>IF(A98="","",ROUND((Z98+AA98)*10+X98*100-AB98*8,1))</x:f>
      </x:c>
      <x:c r="AD98" s="269"/>
      <x:c r="AE98" s="270" t="n">
        <x:f>IF(T98="",0,(S98*(1-XLOOKUP(T98,'平台参数'!$A$5:$A$9,'平台参数'!$F$5:$F$9,0)-XLOOKUP(T98,'平台参数'!$A$5:$A$9,'平台参数'!$G$5:$G$9,0))-XLOOKUP(T98,'平台参数'!$A$5:$A$9,'平台参数'!$I$5:$I$9,0))/1.18)</x:f>
        <x:v>0</x:v>
      </x:c>
      <x:c r="AF98" s="273" t="str">
        <x:f>IF(A98="","",IFERROR(MAX(_xlfn._xlws.FILTER('实时行情'!$H$5:$H$124,'实时行情'!$A$5:$A$124=A98)),TODAY()))</x:f>
      </x:c>
      <x:c r="AG98" s="274"/>
    </x:row>
    <x:row r="99">
      <x:c r="A99" s="268"/>
      <x:c r="B99" s="269"/>
      <x:c r="C99" s="269"/>
      <x:c r="D99" s="269"/>
      <x:c r="E99" s="269"/>
      <x:c r="F99" s="269"/>
      <x:c r="G99" s="270" t="n">
        <x:f>SUMIFS('实时行情'!$D$5:$D$124,'实时行情'!$A$5:$A$124,$A99,'实时行情'!$C$5:$C$124,"eBay")</x:f>
        <x:v>0</x:v>
      </x:c>
      <x:c r="H99" s="270" t="n">
        <x:f>SUMIFS('实时行情'!$D$5:$D$124,'实时行情'!$A$5:$A$124,$A99,'实时行情'!$C$5:$C$124,"ALT")</x:f>
        <x:v>0</x:v>
      </x:c>
      <x:c r="I99" s="270" t="n">
        <x:f>SUMIFS('实时行情'!$D$5:$D$124,'实时行情'!$A$5:$A$124,$A99,'实时行情'!$C$5:$C$124,"Card Hobby")</x:f>
        <x:v>0</x:v>
      </x:c>
      <x:c r="J99" s="270" t="n">
        <x:f>SUMIFS('实时行情'!$D$5:$D$124,'实时行情'!$A$5:$A$124,$A99,'实时行情'!$C$5:$C$124,"Fanatics Collect")</x:f>
        <x:v>0</x:v>
      </x:c>
      <x:c r="K99" s="270" t="n">
        <x:f>SUMIFS('实时行情'!$D$5:$D$124,'实时行情'!$A$5:$A$124,$A99,'实时行情'!$C$5:$C$124,"PokerColor")</x:f>
        <x:v>0</x:v>
      </x:c>
      <x:c r="L99" s="270" t="n">
        <x:f>SUMIFS('实时行情'!$E$5:$E$124,'实时行情'!$A$5:$A$124,$A99,'实时行情'!$C$5:$C$124,"eBay")</x:f>
        <x:v>0</x:v>
      </x:c>
      <x:c r="M99" s="270" t="n">
        <x:f>SUMIFS('实时行情'!$E$5:$E$124,'实时行情'!$A$5:$A$124,$A99,'实时行情'!$C$5:$C$124,"ALT")</x:f>
        <x:v>0</x:v>
      </x:c>
      <x:c r="N99" s="270" t="n">
        <x:f>SUMIFS('实时行情'!$E$5:$E$124,'实时行情'!$A$5:$A$124,$A99,'实时行情'!$C$5:$C$124,"Card Hobby")</x:f>
        <x:v>0</x:v>
      </x:c>
      <x:c r="O99" s="270" t="n">
        <x:f>SUMIFS('实时行情'!$E$5:$E$124,'实时行情'!$A$5:$A$124,$A99,'实时行情'!$C$5:$C$124,"Fanatics Collect")</x:f>
        <x:v>0</x:v>
      </x:c>
      <x:c r="P99" s="270" t="n">
        <x:f>SUMIFS('实时行情'!$E$5:$E$124,'实时行情'!$A$5:$A$124,$A99,'实时行情'!$C$5:$C$124,"PokerColor")</x:f>
        <x:v>0</x:v>
      </x:c>
      <x:c r="Q99" s="270" t="n">
        <x:f>IFERROR(MIN(_xlfn._xlws.FILTER(G99:K99,G99:K99&gt;0)),0)</x:f>
        <x:v>0</x:v>
      </x:c>
      <x:c r="R99" s="270" t="str">
        <x:f>IF(Q99=0,"",SUBSTITUTE(SUBSTITUTE(INDEX($G$4:$K$4,1,MATCH(Q99,G99:K99,0)),"买价",""),"Fanatics","Fanatics Collect"))</x:f>
      </x:c>
      <x:c r="S99" s="270" t="n">
        <x:f>IFERROR(MAX(_xlfn._xlws.FILTER(L99:P99,L99:P99&gt;0)),0)</x:f>
        <x:v>0</x:v>
      </x:c>
      <x:c r="T99" s="270" t="str">
        <x:f>IF(S99=0,"",SUBSTITUTE(SUBSTITUTE(INDEX($L$4:$P$4,1,MATCH(S99,L99:P99,0)),"卖价",""),"Fanatics","Fanatics Collect"))</x:f>
      </x:c>
      <x:c r="U99" s="270" t="n">
        <x:f>IF(Q99=0,0,Q99*(1+XLOOKUP(R99,'平台参数'!$A$5:$A$9,'平台参数'!$E$5:$E$9,0)+XLOOKUP(R99,'平台参数'!$A$5:$A$9,'平台参数'!$G$5:$G$9,0))+XLOOKUP(R99,'平台参数'!$A$5:$A$9,'平台参数'!$H$5:$H$9,0))</x:f>
        <x:v>0</x:v>
      </x:c>
      <x:c r="V99" s="270" t="n">
        <x:f>IF(S99=0,0,S99*(1-XLOOKUP(T99,'平台参数'!$A$5:$A$9,'平台参数'!$F$5:$F$9,0)-XLOOKUP(T99,'平台参数'!$A$5:$A$9,'平台参数'!$G$5:$G$9,0))-XLOOKUP(T99,'平台参数'!$A$5:$A$9,'平台参数'!$I$5:$I$9,0))</x:f>
        <x:v>0</x:v>
      </x:c>
      <x:c r="W99" s="270" t="n">
        <x:f>V99-U99</x:f>
        <x:v>0</x:v>
      </x:c>
      <x:c r="X99" s="271" t="n">
        <x:f>IFERROR(W99/U99,0)</x:f>
        <x:v>0</x:v>
      </x:c>
      <x:c r="Y99" s="271" t="n">
        <x:f>IFERROR((S99-Q99)/Q99,0)</x:f>
        <x:v>0</x:v>
      </x:c>
      <x:c r="Z99" s="272"/>
      <x:c r="AA99" s="272"/>
      <x:c r="AB99" s="272"/>
      <x:c r="AC99" s="272" t="str">
        <x:f>IF(A99="","",ROUND((Z99+AA99)*10+X99*100-AB99*8,1))</x:f>
      </x:c>
      <x:c r="AD99" s="269"/>
      <x:c r="AE99" s="270" t="n">
        <x:f>IF(T99="",0,(S99*(1-XLOOKUP(T99,'平台参数'!$A$5:$A$9,'平台参数'!$F$5:$F$9,0)-XLOOKUP(T99,'平台参数'!$A$5:$A$9,'平台参数'!$G$5:$G$9,0))-XLOOKUP(T99,'平台参数'!$A$5:$A$9,'平台参数'!$I$5:$I$9,0))/1.18)</x:f>
        <x:v>0</x:v>
      </x:c>
      <x:c r="AF99" s="273" t="str">
        <x:f>IF(A99="","",IFERROR(MAX(_xlfn._xlws.FILTER('实时行情'!$H$5:$H$124,'实时行情'!$A$5:$A$124=A99)),TODAY()))</x:f>
      </x:c>
      <x:c r="AG99" s="274"/>
    </x:row>
    <x:row r="100">
      <x:c r="A100" s="268"/>
      <x:c r="B100" s="269"/>
      <x:c r="C100" s="269"/>
      <x:c r="D100" s="269"/>
      <x:c r="E100" s="269"/>
      <x:c r="F100" s="269"/>
      <x:c r="G100" s="270" t="n">
        <x:f>SUMIFS('实时行情'!$D$5:$D$124,'实时行情'!$A$5:$A$124,$A100,'实时行情'!$C$5:$C$124,"eBay")</x:f>
        <x:v>0</x:v>
      </x:c>
      <x:c r="H100" s="270" t="n">
        <x:f>SUMIFS('实时行情'!$D$5:$D$124,'实时行情'!$A$5:$A$124,$A100,'实时行情'!$C$5:$C$124,"ALT")</x:f>
        <x:v>0</x:v>
      </x:c>
      <x:c r="I100" s="270" t="n">
        <x:f>SUMIFS('实时行情'!$D$5:$D$124,'实时行情'!$A$5:$A$124,$A100,'实时行情'!$C$5:$C$124,"Card Hobby")</x:f>
        <x:v>0</x:v>
      </x:c>
      <x:c r="J100" s="270" t="n">
        <x:f>SUMIFS('实时行情'!$D$5:$D$124,'实时行情'!$A$5:$A$124,$A100,'实时行情'!$C$5:$C$124,"Fanatics Collect")</x:f>
        <x:v>0</x:v>
      </x:c>
      <x:c r="K100" s="270" t="n">
        <x:f>SUMIFS('实时行情'!$D$5:$D$124,'实时行情'!$A$5:$A$124,$A100,'实时行情'!$C$5:$C$124,"PokerColor")</x:f>
        <x:v>0</x:v>
      </x:c>
      <x:c r="L100" s="270" t="n">
        <x:f>SUMIFS('实时行情'!$E$5:$E$124,'实时行情'!$A$5:$A$124,$A100,'实时行情'!$C$5:$C$124,"eBay")</x:f>
        <x:v>0</x:v>
      </x:c>
      <x:c r="M100" s="270" t="n">
        <x:f>SUMIFS('实时行情'!$E$5:$E$124,'实时行情'!$A$5:$A$124,$A100,'实时行情'!$C$5:$C$124,"ALT")</x:f>
        <x:v>0</x:v>
      </x:c>
      <x:c r="N100" s="270" t="n">
        <x:f>SUMIFS('实时行情'!$E$5:$E$124,'实时行情'!$A$5:$A$124,$A100,'实时行情'!$C$5:$C$124,"Card Hobby")</x:f>
        <x:v>0</x:v>
      </x:c>
      <x:c r="O100" s="270" t="n">
        <x:f>SUMIFS('实时行情'!$E$5:$E$124,'实时行情'!$A$5:$A$124,$A100,'实时行情'!$C$5:$C$124,"Fanatics Collect")</x:f>
        <x:v>0</x:v>
      </x:c>
      <x:c r="P100" s="270" t="n">
        <x:f>SUMIFS('实时行情'!$E$5:$E$124,'实时行情'!$A$5:$A$124,$A100,'实时行情'!$C$5:$C$124,"PokerColor")</x:f>
        <x:v>0</x:v>
      </x:c>
      <x:c r="Q100" s="270" t="n">
        <x:f>IFERROR(MIN(_xlfn._xlws.FILTER(G100:K100,G100:K100&gt;0)),0)</x:f>
        <x:v>0</x:v>
      </x:c>
      <x:c r="R100" s="270" t="str">
        <x:f>IF(Q100=0,"",SUBSTITUTE(SUBSTITUTE(INDEX($G$4:$K$4,1,MATCH(Q100,G100:K100,0)),"买价",""),"Fanatics","Fanatics Collect"))</x:f>
      </x:c>
      <x:c r="S100" s="270" t="n">
        <x:f>IFERROR(MAX(_xlfn._xlws.FILTER(L100:P100,L100:P100&gt;0)),0)</x:f>
        <x:v>0</x:v>
      </x:c>
      <x:c r="T100" s="270" t="str">
        <x:f>IF(S100=0,"",SUBSTITUTE(SUBSTITUTE(INDEX($L$4:$P$4,1,MATCH(S100,L100:P100,0)),"卖价",""),"Fanatics","Fanatics Collect"))</x:f>
      </x:c>
      <x:c r="U100" s="270" t="n">
        <x:f>IF(Q100=0,0,Q100*(1+XLOOKUP(R100,'平台参数'!$A$5:$A$9,'平台参数'!$E$5:$E$9,0)+XLOOKUP(R100,'平台参数'!$A$5:$A$9,'平台参数'!$G$5:$G$9,0))+XLOOKUP(R100,'平台参数'!$A$5:$A$9,'平台参数'!$H$5:$H$9,0))</x:f>
        <x:v>0</x:v>
      </x:c>
      <x:c r="V100" s="270" t="n">
        <x:f>IF(S100=0,0,S100*(1-XLOOKUP(T100,'平台参数'!$A$5:$A$9,'平台参数'!$F$5:$F$9,0)-XLOOKUP(T100,'平台参数'!$A$5:$A$9,'平台参数'!$G$5:$G$9,0))-XLOOKUP(T100,'平台参数'!$A$5:$A$9,'平台参数'!$I$5:$I$9,0))</x:f>
        <x:v>0</x:v>
      </x:c>
      <x:c r="W100" s="270" t="n">
        <x:f>V100-U100</x:f>
        <x:v>0</x:v>
      </x:c>
      <x:c r="X100" s="271" t="n">
        <x:f>IFERROR(W100/U100,0)</x:f>
        <x:v>0</x:v>
      </x:c>
      <x:c r="Y100" s="271" t="n">
        <x:f>IFERROR((S100-Q100)/Q100,0)</x:f>
        <x:v>0</x:v>
      </x:c>
      <x:c r="Z100" s="272"/>
      <x:c r="AA100" s="272"/>
      <x:c r="AB100" s="272"/>
      <x:c r="AC100" s="272" t="str">
        <x:f>IF(A100="","",ROUND((Z100+AA100)*10+X100*100-AB100*8,1))</x:f>
      </x:c>
      <x:c r="AD100" s="269"/>
      <x:c r="AE100" s="270" t="n">
        <x:f>IF(T100="",0,(S100*(1-XLOOKUP(T100,'平台参数'!$A$5:$A$9,'平台参数'!$F$5:$F$9,0)-XLOOKUP(T100,'平台参数'!$A$5:$A$9,'平台参数'!$G$5:$G$9,0))-XLOOKUP(T100,'平台参数'!$A$5:$A$9,'平台参数'!$I$5:$I$9,0))/1.18)</x:f>
        <x:v>0</x:v>
      </x:c>
      <x:c r="AF100" s="273" t="str">
        <x:f>IF(A100="","",IFERROR(MAX(_xlfn._xlws.FILTER('实时行情'!$H$5:$H$124,'实时行情'!$A$5:$A$124=A100)),TODAY()))</x:f>
      </x:c>
      <x:c r="AG100" s="274"/>
    </x:row>
    <x:row r="101">
      <x:c r="A101" s="268"/>
      <x:c r="B101" s="269"/>
      <x:c r="C101" s="269"/>
      <x:c r="D101" s="269"/>
      <x:c r="E101" s="269"/>
      <x:c r="F101" s="269"/>
      <x:c r="G101" s="270" t="n">
        <x:f>SUMIFS('实时行情'!$D$5:$D$124,'实时行情'!$A$5:$A$124,$A101,'实时行情'!$C$5:$C$124,"eBay")</x:f>
        <x:v>0</x:v>
      </x:c>
      <x:c r="H101" s="270" t="n">
        <x:f>SUMIFS('实时行情'!$D$5:$D$124,'实时行情'!$A$5:$A$124,$A101,'实时行情'!$C$5:$C$124,"ALT")</x:f>
        <x:v>0</x:v>
      </x:c>
      <x:c r="I101" s="270" t="n">
        <x:f>SUMIFS('实时行情'!$D$5:$D$124,'实时行情'!$A$5:$A$124,$A101,'实时行情'!$C$5:$C$124,"Card Hobby")</x:f>
        <x:v>0</x:v>
      </x:c>
      <x:c r="J101" s="270" t="n">
        <x:f>SUMIFS('实时行情'!$D$5:$D$124,'实时行情'!$A$5:$A$124,$A101,'实时行情'!$C$5:$C$124,"Fanatics Collect")</x:f>
        <x:v>0</x:v>
      </x:c>
      <x:c r="K101" s="270" t="n">
        <x:f>SUMIFS('实时行情'!$D$5:$D$124,'实时行情'!$A$5:$A$124,$A101,'实时行情'!$C$5:$C$124,"PokerColor")</x:f>
        <x:v>0</x:v>
      </x:c>
      <x:c r="L101" s="270" t="n">
        <x:f>SUMIFS('实时行情'!$E$5:$E$124,'实时行情'!$A$5:$A$124,$A101,'实时行情'!$C$5:$C$124,"eBay")</x:f>
        <x:v>0</x:v>
      </x:c>
      <x:c r="M101" s="270" t="n">
        <x:f>SUMIFS('实时行情'!$E$5:$E$124,'实时行情'!$A$5:$A$124,$A101,'实时行情'!$C$5:$C$124,"ALT")</x:f>
        <x:v>0</x:v>
      </x:c>
      <x:c r="N101" s="270" t="n">
        <x:f>SUMIFS('实时行情'!$E$5:$E$124,'实时行情'!$A$5:$A$124,$A101,'实时行情'!$C$5:$C$124,"Card Hobby")</x:f>
        <x:v>0</x:v>
      </x:c>
      <x:c r="O101" s="270" t="n">
        <x:f>SUMIFS('实时行情'!$E$5:$E$124,'实时行情'!$A$5:$A$124,$A101,'实时行情'!$C$5:$C$124,"Fanatics Collect")</x:f>
        <x:v>0</x:v>
      </x:c>
      <x:c r="P101" s="270" t="n">
        <x:f>SUMIFS('实时行情'!$E$5:$E$124,'实时行情'!$A$5:$A$124,$A101,'实时行情'!$C$5:$C$124,"PokerColor")</x:f>
        <x:v>0</x:v>
      </x:c>
      <x:c r="Q101" s="270" t="n">
        <x:f>IFERROR(MIN(_xlfn._xlws.FILTER(G101:K101,G101:K101&gt;0)),0)</x:f>
        <x:v>0</x:v>
      </x:c>
      <x:c r="R101" s="270" t="str">
        <x:f>IF(Q101=0,"",SUBSTITUTE(SUBSTITUTE(INDEX($G$4:$K$4,1,MATCH(Q101,G101:K101,0)),"买价",""),"Fanatics","Fanatics Collect"))</x:f>
      </x:c>
      <x:c r="S101" s="270" t="n">
        <x:f>IFERROR(MAX(_xlfn._xlws.FILTER(L101:P101,L101:P101&gt;0)),0)</x:f>
        <x:v>0</x:v>
      </x:c>
      <x:c r="T101" s="270" t="str">
        <x:f>IF(S101=0,"",SUBSTITUTE(SUBSTITUTE(INDEX($L$4:$P$4,1,MATCH(S101,L101:P101,0)),"卖价",""),"Fanatics","Fanatics Collect"))</x:f>
      </x:c>
      <x:c r="U101" s="270" t="n">
        <x:f>IF(Q101=0,0,Q101*(1+XLOOKUP(R101,'平台参数'!$A$5:$A$9,'平台参数'!$E$5:$E$9,0)+XLOOKUP(R101,'平台参数'!$A$5:$A$9,'平台参数'!$G$5:$G$9,0))+XLOOKUP(R101,'平台参数'!$A$5:$A$9,'平台参数'!$H$5:$H$9,0))</x:f>
        <x:v>0</x:v>
      </x:c>
      <x:c r="V101" s="270" t="n">
        <x:f>IF(S101=0,0,S101*(1-XLOOKUP(T101,'平台参数'!$A$5:$A$9,'平台参数'!$F$5:$F$9,0)-XLOOKUP(T101,'平台参数'!$A$5:$A$9,'平台参数'!$G$5:$G$9,0))-XLOOKUP(T101,'平台参数'!$A$5:$A$9,'平台参数'!$I$5:$I$9,0))</x:f>
        <x:v>0</x:v>
      </x:c>
      <x:c r="W101" s="270" t="n">
        <x:f>V101-U101</x:f>
        <x:v>0</x:v>
      </x:c>
      <x:c r="X101" s="271" t="n">
        <x:f>IFERROR(W101/U101,0)</x:f>
        <x:v>0</x:v>
      </x:c>
      <x:c r="Y101" s="271" t="n">
        <x:f>IFERROR((S101-Q101)/Q101,0)</x:f>
        <x:v>0</x:v>
      </x:c>
      <x:c r="Z101" s="272"/>
      <x:c r="AA101" s="272"/>
      <x:c r="AB101" s="272"/>
      <x:c r="AC101" s="272" t="str">
        <x:f>IF(A101="","",ROUND((Z101+AA101)*10+X101*100-AB101*8,1))</x:f>
      </x:c>
      <x:c r="AD101" s="269"/>
      <x:c r="AE101" s="270" t="n">
        <x:f>IF(T101="",0,(S101*(1-XLOOKUP(T101,'平台参数'!$A$5:$A$9,'平台参数'!$F$5:$F$9,0)-XLOOKUP(T101,'平台参数'!$A$5:$A$9,'平台参数'!$G$5:$G$9,0))-XLOOKUP(T101,'平台参数'!$A$5:$A$9,'平台参数'!$I$5:$I$9,0))/1.18)</x:f>
        <x:v>0</x:v>
      </x:c>
      <x:c r="AF101" s="273" t="str">
        <x:f>IF(A101="","",IFERROR(MAX(_xlfn._xlws.FILTER('实时行情'!$H$5:$H$124,'实时行情'!$A$5:$A$124=A101)),TODAY()))</x:f>
      </x:c>
      <x:c r="AG101" s="274"/>
    </x:row>
    <x:row r="102">
      <x:c r="A102" s="268"/>
      <x:c r="B102" s="269"/>
      <x:c r="C102" s="269"/>
      <x:c r="D102" s="269"/>
      <x:c r="E102" s="269"/>
      <x:c r="F102" s="269"/>
      <x:c r="G102" s="270" t="n">
        <x:f>SUMIFS('实时行情'!$D$5:$D$124,'实时行情'!$A$5:$A$124,$A102,'实时行情'!$C$5:$C$124,"eBay")</x:f>
        <x:v>0</x:v>
      </x:c>
      <x:c r="H102" s="270" t="n">
        <x:f>SUMIFS('实时行情'!$D$5:$D$124,'实时行情'!$A$5:$A$124,$A102,'实时行情'!$C$5:$C$124,"ALT")</x:f>
        <x:v>0</x:v>
      </x:c>
      <x:c r="I102" s="270" t="n">
        <x:f>SUMIFS('实时行情'!$D$5:$D$124,'实时行情'!$A$5:$A$124,$A102,'实时行情'!$C$5:$C$124,"Card Hobby")</x:f>
        <x:v>0</x:v>
      </x:c>
      <x:c r="J102" s="270" t="n">
        <x:f>SUMIFS('实时行情'!$D$5:$D$124,'实时行情'!$A$5:$A$124,$A102,'实时行情'!$C$5:$C$124,"Fanatics Collect")</x:f>
        <x:v>0</x:v>
      </x:c>
      <x:c r="K102" s="270" t="n">
        <x:f>SUMIFS('实时行情'!$D$5:$D$124,'实时行情'!$A$5:$A$124,$A102,'实时行情'!$C$5:$C$124,"PokerColor")</x:f>
        <x:v>0</x:v>
      </x:c>
      <x:c r="L102" s="270" t="n">
        <x:f>SUMIFS('实时行情'!$E$5:$E$124,'实时行情'!$A$5:$A$124,$A102,'实时行情'!$C$5:$C$124,"eBay")</x:f>
        <x:v>0</x:v>
      </x:c>
      <x:c r="M102" s="270" t="n">
        <x:f>SUMIFS('实时行情'!$E$5:$E$124,'实时行情'!$A$5:$A$124,$A102,'实时行情'!$C$5:$C$124,"ALT")</x:f>
        <x:v>0</x:v>
      </x:c>
      <x:c r="N102" s="270" t="n">
        <x:f>SUMIFS('实时行情'!$E$5:$E$124,'实时行情'!$A$5:$A$124,$A102,'实时行情'!$C$5:$C$124,"Card Hobby")</x:f>
        <x:v>0</x:v>
      </x:c>
      <x:c r="O102" s="270" t="n">
        <x:f>SUMIFS('实时行情'!$E$5:$E$124,'实时行情'!$A$5:$A$124,$A102,'实时行情'!$C$5:$C$124,"Fanatics Collect")</x:f>
        <x:v>0</x:v>
      </x:c>
      <x:c r="P102" s="270" t="n">
        <x:f>SUMIFS('实时行情'!$E$5:$E$124,'实时行情'!$A$5:$A$124,$A102,'实时行情'!$C$5:$C$124,"PokerColor")</x:f>
        <x:v>0</x:v>
      </x:c>
      <x:c r="Q102" s="270" t="n">
        <x:f>IFERROR(MIN(_xlfn._xlws.FILTER(G102:K102,G102:K102&gt;0)),0)</x:f>
        <x:v>0</x:v>
      </x:c>
      <x:c r="R102" s="270" t="str">
        <x:f>IF(Q102=0,"",SUBSTITUTE(SUBSTITUTE(INDEX($G$4:$K$4,1,MATCH(Q102,G102:K102,0)),"买价",""),"Fanatics","Fanatics Collect"))</x:f>
      </x:c>
      <x:c r="S102" s="270" t="n">
        <x:f>IFERROR(MAX(_xlfn._xlws.FILTER(L102:P102,L102:P102&gt;0)),0)</x:f>
        <x:v>0</x:v>
      </x:c>
      <x:c r="T102" s="270" t="str">
        <x:f>IF(S102=0,"",SUBSTITUTE(SUBSTITUTE(INDEX($L$4:$P$4,1,MATCH(S102,L102:P102,0)),"卖价",""),"Fanatics","Fanatics Collect"))</x:f>
      </x:c>
      <x:c r="U102" s="270" t="n">
        <x:f>IF(Q102=0,0,Q102*(1+XLOOKUP(R102,'平台参数'!$A$5:$A$9,'平台参数'!$E$5:$E$9,0)+XLOOKUP(R102,'平台参数'!$A$5:$A$9,'平台参数'!$G$5:$G$9,0))+XLOOKUP(R102,'平台参数'!$A$5:$A$9,'平台参数'!$H$5:$H$9,0))</x:f>
        <x:v>0</x:v>
      </x:c>
      <x:c r="V102" s="270" t="n">
        <x:f>IF(S102=0,0,S102*(1-XLOOKUP(T102,'平台参数'!$A$5:$A$9,'平台参数'!$F$5:$F$9,0)-XLOOKUP(T102,'平台参数'!$A$5:$A$9,'平台参数'!$G$5:$G$9,0))-XLOOKUP(T102,'平台参数'!$A$5:$A$9,'平台参数'!$I$5:$I$9,0))</x:f>
        <x:v>0</x:v>
      </x:c>
      <x:c r="W102" s="270" t="n">
        <x:f>V102-U102</x:f>
        <x:v>0</x:v>
      </x:c>
      <x:c r="X102" s="271" t="n">
        <x:f>IFERROR(W102/U102,0)</x:f>
        <x:v>0</x:v>
      </x:c>
      <x:c r="Y102" s="271" t="n">
        <x:f>IFERROR((S102-Q102)/Q102,0)</x:f>
        <x:v>0</x:v>
      </x:c>
      <x:c r="Z102" s="272"/>
      <x:c r="AA102" s="272"/>
      <x:c r="AB102" s="272"/>
      <x:c r="AC102" s="272" t="str">
        <x:f>IF(A102="","",ROUND((Z102+AA102)*10+X102*100-AB102*8,1))</x:f>
      </x:c>
      <x:c r="AD102" s="269"/>
      <x:c r="AE102" s="270" t="n">
        <x:f>IF(T102="",0,(S102*(1-XLOOKUP(T102,'平台参数'!$A$5:$A$9,'平台参数'!$F$5:$F$9,0)-XLOOKUP(T102,'平台参数'!$A$5:$A$9,'平台参数'!$G$5:$G$9,0))-XLOOKUP(T102,'平台参数'!$A$5:$A$9,'平台参数'!$I$5:$I$9,0))/1.18)</x:f>
        <x:v>0</x:v>
      </x:c>
      <x:c r="AF102" s="273" t="str">
        <x:f>IF(A102="","",IFERROR(MAX(_xlfn._xlws.FILTER('实时行情'!$H$5:$H$124,'实时行情'!$A$5:$A$124=A102)),TODAY()))</x:f>
      </x:c>
      <x:c r="AG102" s="274"/>
    </x:row>
    <x:row r="103">
      <x:c r="A103" s="268"/>
      <x:c r="B103" s="269"/>
      <x:c r="C103" s="269"/>
      <x:c r="D103" s="269"/>
      <x:c r="E103" s="269"/>
      <x:c r="F103" s="269"/>
      <x:c r="G103" s="270" t="n">
        <x:f>SUMIFS('实时行情'!$D$5:$D$124,'实时行情'!$A$5:$A$124,$A103,'实时行情'!$C$5:$C$124,"eBay")</x:f>
        <x:v>0</x:v>
      </x:c>
      <x:c r="H103" s="270" t="n">
        <x:f>SUMIFS('实时行情'!$D$5:$D$124,'实时行情'!$A$5:$A$124,$A103,'实时行情'!$C$5:$C$124,"ALT")</x:f>
        <x:v>0</x:v>
      </x:c>
      <x:c r="I103" s="270" t="n">
        <x:f>SUMIFS('实时行情'!$D$5:$D$124,'实时行情'!$A$5:$A$124,$A103,'实时行情'!$C$5:$C$124,"Card Hobby")</x:f>
        <x:v>0</x:v>
      </x:c>
      <x:c r="J103" s="270" t="n">
        <x:f>SUMIFS('实时行情'!$D$5:$D$124,'实时行情'!$A$5:$A$124,$A103,'实时行情'!$C$5:$C$124,"Fanatics Collect")</x:f>
        <x:v>0</x:v>
      </x:c>
      <x:c r="K103" s="270" t="n">
        <x:f>SUMIFS('实时行情'!$D$5:$D$124,'实时行情'!$A$5:$A$124,$A103,'实时行情'!$C$5:$C$124,"PokerColor")</x:f>
        <x:v>0</x:v>
      </x:c>
      <x:c r="L103" s="270" t="n">
        <x:f>SUMIFS('实时行情'!$E$5:$E$124,'实时行情'!$A$5:$A$124,$A103,'实时行情'!$C$5:$C$124,"eBay")</x:f>
        <x:v>0</x:v>
      </x:c>
      <x:c r="M103" s="270" t="n">
        <x:f>SUMIFS('实时行情'!$E$5:$E$124,'实时行情'!$A$5:$A$124,$A103,'实时行情'!$C$5:$C$124,"ALT")</x:f>
        <x:v>0</x:v>
      </x:c>
      <x:c r="N103" s="270" t="n">
        <x:f>SUMIFS('实时行情'!$E$5:$E$124,'实时行情'!$A$5:$A$124,$A103,'实时行情'!$C$5:$C$124,"Card Hobby")</x:f>
        <x:v>0</x:v>
      </x:c>
      <x:c r="O103" s="270" t="n">
        <x:f>SUMIFS('实时行情'!$E$5:$E$124,'实时行情'!$A$5:$A$124,$A103,'实时行情'!$C$5:$C$124,"Fanatics Collect")</x:f>
        <x:v>0</x:v>
      </x:c>
      <x:c r="P103" s="270" t="n">
        <x:f>SUMIFS('实时行情'!$E$5:$E$124,'实时行情'!$A$5:$A$124,$A103,'实时行情'!$C$5:$C$124,"PokerColor")</x:f>
        <x:v>0</x:v>
      </x:c>
      <x:c r="Q103" s="270" t="n">
        <x:f>IFERROR(MIN(_xlfn._xlws.FILTER(G103:K103,G103:K103&gt;0)),0)</x:f>
        <x:v>0</x:v>
      </x:c>
      <x:c r="R103" s="270" t="str">
        <x:f>IF(Q103=0,"",SUBSTITUTE(SUBSTITUTE(INDEX($G$4:$K$4,1,MATCH(Q103,G103:K103,0)),"买价",""),"Fanatics","Fanatics Collect"))</x:f>
      </x:c>
      <x:c r="S103" s="270" t="n">
        <x:f>IFERROR(MAX(_xlfn._xlws.FILTER(L103:P103,L103:P103&gt;0)),0)</x:f>
        <x:v>0</x:v>
      </x:c>
      <x:c r="T103" s="270" t="str">
        <x:f>IF(S103=0,"",SUBSTITUTE(SUBSTITUTE(INDEX($L$4:$P$4,1,MATCH(S103,L103:P103,0)),"卖价",""),"Fanatics","Fanatics Collect"))</x:f>
      </x:c>
      <x:c r="U103" s="270" t="n">
        <x:f>IF(Q103=0,0,Q103*(1+XLOOKUP(R103,'平台参数'!$A$5:$A$9,'平台参数'!$E$5:$E$9,0)+XLOOKUP(R103,'平台参数'!$A$5:$A$9,'平台参数'!$G$5:$G$9,0))+XLOOKUP(R103,'平台参数'!$A$5:$A$9,'平台参数'!$H$5:$H$9,0))</x:f>
        <x:v>0</x:v>
      </x:c>
      <x:c r="V103" s="270" t="n">
        <x:f>IF(S103=0,0,S103*(1-XLOOKUP(T103,'平台参数'!$A$5:$A$9,'平台参数'!$F$5:$F$9,0)-XLOOKUP(T103,'平台参数'!$A$5:$A$9,'平台参数'!$G$5:$G$9,0))-XLOOKUP(T103,'平台参数'!$A$5:$A$9,'平台参数'!$I$5:$I$9,0))</x:f>
        <x:v>0</x:v>
      </x:c>
      <x:c r="W103" s="270" t="n">
        <x:f>V103-U103</x:f>
        <x:v>0</x:v>
      </x:c>
      <x:c r="X103" s="271" t="n">
        <x:f>IFERROR(W103/U103,0)</x:f>
        <x:v>0</x:v>
      </x:c>
      <x:c r="Y103" s="271" t="n">
        <x:f>IFERROR((S103-Q103)/Q103,0)</x:f>
        <x:v>0</x:v>
      </x:c>
      <x:c r="Z103" s="272"/>
      <x:c r="AA103" s="272"/>
      <x:c r="AB103" s="272"/>
      <x:c r="AC103" s="272" t="str">
        <x:f>IF(A103="","",ROUND((Z103+AA103)*10+X103*100-AB103*8,1))</x:f>
      </x:c>
      <x:c r="AD103" s="269"/>
      <x:c r="AE103" s="270" t="n">
        <x:f>IF(T103="",0,(S103*(1-XLOOKUP(T103,'平台参数'!$A$5:$A$9,'平台参数'!$F$5:$F$9,0)-XLOOKUP(T103,'平台参数'!$A$5:$A$9,'平台参数'!$G$5:$G$9,0))-XLOOKUP(T103,'平台参数'!$A$5:$A$9,'平台参数'!$I$5:$I$9,0))/1.18)</x:f>
        <x:v>0</x:v>
      </x:c>
      <x:c r="AF103" s="273" t="str">
        <x:f>IF(A103="","",IFERROR(MAX(_xlfn._xlws.FILTER('实时行情'!$H$5:$H$124,'实时行情'!$A$5:$A$124=A103)),TODAY()))</x:f>
      </x:c>
      <x:c r="AG103" s="274"/>
    </x:row>
    <x:row r="104">
      <x:c r="A104" s="275"/>
      <x:c r="B104" s="276"/>
      <x:c r="C104" s="276"/>
      <x:c r="D104" s="276"/>
      <x:c r="E104" s="276"/>
      <x:c r="F104" s="276"/>
      <x:c r="G104" s="277" t="n">
        <x:f>SUMIFS('实时行情'!$D$5:$D$124,'实时行情'!$A$5:$A$124,$A104,'实时行情'!$C$5:$C$124,"eBay")</x:f>
        <x:v>0</x:v>
      </x:c>
      <x:c r="H104" s="277" t="n">
        <x:f>SUMIFS('实时行情'!$D$5:$D$124,'实时行情'!$A$5:$A$124,$A104,'实时行情'!$C$5:$C$124,"ALT")</x:f>
        <x:v>0</x:v>
      </x:c>
      <x:c r="I104" s="277" t="n">
        <x:f>SUMIFS('实时行情'!$D$5:$D$124,'实时行情'!$A$5:$A$124,$A104,'实时行情'!$C$5:$C$124,"Card Hobby")</x:f>
        <x:v>0</x:v>
      </x:c>
      <x:c r="J104" s="277" t="n">
        <x:f>SUMIFS('实时行情'!$D$5:$D$124,'实时行情'!$A$5:$A$124,$A104,'实时行情'!$C$5:$C$124,"Fanatics Collect")</x:f>
        <x:v>0</x:v>
      </x:c>
      <x:c r="K104" s="277" t="n">
        <x:f>SUMIFS('实时行情'!$D$5:$D$124,'实时行情'!$A$5:$A$124,$A104,'实时行情'!$C$5:$C$124,"PokerColor")</x:f>
        <x:v>0</x:v>
      </x:c>
      <x:c r="L104" s="277" t="n">
        <x:f>SUMIFS('实时行情'!$E$5:$E$124,'实时行情'!$A$5:$A$124,$A104,'实时行情'!$C$5:$C$124,"eBay")</x:f>
        <x:v>0</x:v>
      </x:c>
      <x:c r="M104" s="277" t="n">
        <x:f>SUMIFS('实时行情'!$E$5:$E$124,'实时行情'!$A$5:$A$124,$A104,'实时行情'!$C$5:$C$124,"ALT")</x:f>
        <x:v>0</x:v>
      </x:c>
      <x:c r="N104" s="277" t="n">
        <x:f>SUMIFS('实时行情'!$E$5:$E$124,'实时行情'!$A$5:$A$124,$A104,'实时行情'!$C$5:$C$124,"Card Hobby")</x:f>
        <x:v>0</x:v>
      </x:c>
      <x:c r="O104" s="277" t="n">
        <x:f>SUMIFS('实时行情'!$E$5:$E$124,'实时行情'!$A$5:$A$124,$A104,'实时行情'!$C$5:$C$124,"Fanatics Collect")</x:f>
        <x:v>0</x:v>
      </x:c>
      <x:c r="P104" s="277" t="n">
        <x:f>SUMIFS('实时行情'!$E$5:$E$124,'实时行情'!$A$5:$A$124,$A104,'实时行情'!$C$5:$C$124,"PokerColor")</x:f>
        <x:v>0</x:v>
      </x:c>
      <x:c r="Q104" s="277" t="n">
        <x:f>IFERROR(MIN(_xlfn._xlws.FILTER(G104:K104,G104:K104&gt;0)),0)</x:f>
        <x:v>0</x:v>
      </x:c>
      <x:c r="R104" s="277" t="str">
        <x:f>IF(Q104=0,"",SUBSTITUTE(SUBSTITUTE(INDEX($G$4:$K$4,1,MATCH(Q104,G104:K104,0)),"买价",""),"Fanatics","Fanatics Collect"))</x:f>
      </x:c>
      <x:c r="S104" s="277" t="n">
        <x:f>IFERROR(MAX(_xlfn._xlws.FILTER(L104:P104,L104:P104&gt;0)),0)</x:f>
        <x:v>0</x:v>
      </x:c>
      <x:c r="T104" s="277" t="str">
        <x:f>IF(S104=0,"",SUBSTITUTE(SUBSTITUTE(INDEX($L$4:$P$4,1,MATCH(S104,L104:P104,0)),"卖价",""),"Fanatics","Fanatics Collect"))</x:f>
      </x:c>
      <x:c r="U104" s="277" t="n">
        <x:f>IF(Q104=0,0,Q104*(1+XLOOKUP(R104,'平台参数'!$A$5:$A$9,'平台参数'!$E$5:$E$9,0)+XLOOKUP(R104,'平台参数'!$A$5:$A$9,'平台参数'!$G$5:$G$9,0))+XLOOKUP(R104,'平台参数'!$A$5:$A$9,'平台参数'!$H$5:$H$9,0))</x:f>
        <x:v>0</x:v>
      </x:c>
      <x:c r="V104" s="277" t="n">
        <x:f>IF(S104=0,0,S104*(1-XLOOKUP(T104,'平台参数'!$A$5:$A$9,'平台参数'!$F$5:$F$9,0)-XLOOKUP(T104,'平台参数'!$A$5:$A$9,'平台参数'!$G$5:$G$9,0))-XLOOKUP(T104,'平台参数'!$A$5:$A$9,'平台参数'!$I$5:$I$9,0))</x:f>
        <x:v>0</x:v>
      </x:c>
      <x:c r="W104" s="277" t="n">
        <x:f>V104-U104</x:f>
        <x:v>0</x:v>
      </x:c>
      <x:c r="X104" s="278" t="n">
        <x:f>IFERROR(W104/U104,0)</x:f>
        <x:v>0</x:v>
      </x:c>
      <x:c r="Y104" s="278" t="n">
        <x:f>IFERROR((S104-Q104)/Q104,0)</x:f>
        <x:v>0</x:v>
      </x:c>
      <x:c r="Z104" s="279"/>
      <x:c r="AA104" s="279"/>
      <x:c r="AB104" s="279"/>
      <x:c r="AC104" s="279" t="str">
        <x:f>IF(A104="","",ROUND((Z104+AA104)*10+X104*100-AB104*8,1))</x:f>
      </x:c>
      <x:c r="AD104" s="276"/>
      <x:c r="AE104" s="277" t="n">
        <x:f>IF(T104="",0,(S104*(1-XLOOKUP(T104,'平台参数'!$A$5:$A$9,'平台参数'!$F$5:$F$9,0)-XLOOKUP(T104,'平台参数'!$A$5:$A$9,'平台参数'!$G$5:$G$9,0))-XLOOKUP(T104,'平台参数'!$A$5:$A$9,'平台参数'!$I$5:$I$9,0))/1.18)</x:f>
        <x:v>0</x:v>
      </x:c>
      <x:c r="AF104" s="280" t="str">
        <x:f>IF(A104="","",IFERROR(MAX(_xlfn._xlws.FILTER('实时行情'!$H$5:$H$124,'实时行情'!$A$5:$A$124=A104)),TODAY()))</x:f>
      </x:c>
      <x:c r="AG104" s="281"/>
    </x:row>
  </x:sheetData>
  <x:mergeCells>
    <x:mergeCell ref="A1:AG1"/>
    <x:mergeCell ref="A2:H2"/>
  </x:mergeCells>
  <x:conditionalFormatting sqref="W5:W104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X5:X104">
    <x:cfRule type="cellIs" dxfId="2" priority="3" operator="greaterThanOrEqual">
      <x:formula>0.15</x:formula>
    </x:cfRule>
  </x:conditionalFormatting>
  <x:dataValidations count="3">
    <x:dataValidation type="list" sqref="AD5:AD104">
      <x:formula1>"观察,可谈价,准备购入,已购入,已上架,已售出,跳过,高风险"</x:formula1>
    </x:dataValidation>
    <x:dataValidation type="list" sqref="D5:D104">
      <x:formula1>"日文,英文,中文,韩文,其他"</x:formula1>
    </x:dataValidation>
    <x:dataValidation type="whole" operator="between" sqref="Z5:AB104">
      <x:formula1>1</x:formula1>
      <x:formula2>5</x:formula2>
    </x:dataValidation>
  </x:dataValidations>
  <x:pageMargins left="0.7" right="0.7" top="0.75" bottom="0.75" header="0.3" footer="0.3"/>
  <x:legacyDrawing xmlns:r="http://schemas.openxmlformats.org/officeDocument/2006/relationships" r:id="R93440e8bf1d148bf"/>
  <x:tableParts count="1">
    <x:tablePart xmlns:r="http://schemas.openxmlformats.org/officeDocument/2006/relationships" r:id="Rf956ca08e73648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18" hidden="0" customWidth="1"/>
    <x:col min="4" max="4" width="12" hidden="0" customWidth="1"/>
    <x:col min="5" max="5" width="12" hidden="0" customWidth="1"/>
    <x:col min="6" max="6" width="13" hidden="0" customWidth="1"/>
    <x:col min="7" max="7" width="10" hidden="0" customWidth="1"/>
    <x:col min="8" max="8" width="18" hidden="0" customWidth="1"/>
    <x:col min="9" max="9" width="12" hidden="0" customWidth="1"/>
    <x:col min="10" max="10" width="14" hidden="0" customWidth="1"/>
    <x:col min="11" max="11" width="30" hidden="0" customWidth="1"/>
    <x:col min="12" max="12" width="48" hidden="0" customWidth="1"/>
    <x:col min="13" max="13" width="32" hidden="0" customWidth="1"/>
  </x:cols>
  <x:sheetData>
    <x:row r="1" ht="34" customHeight="1">
      <x:c r="A1" s="221" t="str">
        <x:v>实时行情</x:v>
      </x:c>
      <x:c r="B1" s="221" t="str">
        <x:v>实时行情</x:v>
      </x:c>
      <x:c r="C1" s="221" t="str">
        <x:v>实时行情</x:v>
      </x:c>
      <x:c r="D1" s="221" t="str">
        <x:v>实时行情</x:v>
      </x:c>
      <x:c r="E1" s="221" t="str">
        <x:v>实时行情</x:v>
      </x:c>
      <x:c r="F1" s="221" t="str">
        <x:v>实时行情</x:v>
      </x:c>
      <x:c r="G1" s="221" t="str">
        <x:v>实时行情</x:v>
      </x:c>
      <x:c r="H1" s="221" t="str">
        <x:v>实时行情</x:v>
      </x:c>
      <x:c r="I1" s="221" t="str">
        <x:v>实时行情</x:v>
      </x:c>
      <x:c r="J1" s="221" t="str">
        <x:v>实时行情</x:v>
      </x:c>
      <x:c r="K1" s="221" t="str">
        <x:v>实时行情</x:v>
      </x:c>
      <x:c r="L1" s="221" t="str">
        <x:v>实时行情</x:v>
      </x:c>
      <x:c r="M1" s="221" t="str">
        <x:v>实时行情</x:v>
      </x:c>
    </x:row>
    <x:row r="2" ht="30" customHeight="1">
      <x:c r="A2" s="222" t="str">
        <x:v>本表是机会扫描的价格来源：刷新脚本或人工复核只更新这里，机会扫描会自动读取五个平台的买价/卖价。</x:v>
      </x:c>
      <x:c r="B2" s="222" t="str">
        <x:v>本表是机会扫描的价格来源：刷新脚本或人工复核只更新这里，机会扫描会自动读取五个平台的买价/卖价。</x:v>
      </x:c>
      <x:c r="C2" s="222" t="str">
        <x:v>本表是机会扫描的价格来源：刷新脚本或人工复核只更新这里，机会扫描会自动读取五个平台的买价/卖价。</x:v>
      </x:c>
      <x:c r="D2" s="222" t="str">
        <x:v>本表是机会扫描的价格来源：刷新脚本或人工复核只更新这里，机会扫描会自动读取五个平台的买价/卖价。</x:v>
      </x:c>
      <x:c r="E2" s="222" t="str">
        <x:v>本表是机会扫描的价格来源：刷新脚本或人工复核只更新这里，机会扫描会自动读取五个平台的买价/卖价。</x:v>
      </x:c>
      <x:c r="F2" s="222" t="str">
        <x:v>本表是机会扫描的价格来源：刷新脚本或人工复核只更新这里，机会扫描会自动读取五个平台的买价/卖价。</x:v>
      </x:c>
      <x:c r="G2" s="222" t="str">
        <x:v>本表是机会扫描的价格来源：刷新脚本或人工复核只更新这里，机会扫描会自动读取五个平台的买价/卖价。</x:v>
      </x:c>
      <x:c r="H2" s="222" t="str">
        <x:v>本表是机会扫描的价格来源：刷新脚本或人工复核只更新这里，机会扫描会自动读取五个平台的买价/卖价。</x:v>
      </x:c>
      <x:c r="I2" s="223"/>
      <x:c r="J2" s="223"/>
      <x:c r="K2" s="223"/>
      <x:c r="L2" s="223"/>
      <x:c r="M2" s="223"/>
    </x:row>
    <x:row r="3">
      <x:c r="A3" s="223"/>
      <x:c r="B3" s="223"/>
      <x:c r="C3" s="223"/>
      <x:c r="D3" s="223"/>
      <x:c r="E3" s="223"/>
      <x:c r="F3" s="223"/>
      <x:c r="G3" s="223"/>
      <x:c r="H3" s="223"/>
      <x:c r="I3" s="223"/>
      <x:c r="J3" s="223"/>
      <x:c r="K3" s="223"/>
      <x:c r="L3" s="223"/>
      <x:c r="M3" s="223"/>
    </x:row>
    <x:row r="4">
      <x:c r="A4" s="226" t="str">
        <x:v>ID</x:v>
      </x:c>
      <x:c r="B4" s="227" t="str">
        <x:v>卡名</x:v>
      </x:c>
      <x:c r="C4" s="227" t="str">
        <x:v>平台</x:v>
      </x:c>
      <x:c r="D4" s="227" t="str">
        <x:v>买价CNY</x:v>
      </x:c>
      <x:c r="E4" s="227" t="str">
        <x:v>卖价CNY</x:v>
      </x:c>
      <x:c r="F4" s="227" t="str">
        <x:v>最低挂牌CNY</x:v>
      </x:c>
      <x:c r="G4" s="227" t="str">
        <x:v>样本数</x:v>
      </x:c>
      <x:c r="H4" s="227" t="str">
        <x:v>更新时间</x:v>
      </x:c>
      <x:c r="I4" s="227" t="str">
        <x:v>状态</x:v>
      </x:c>
      <x:c r="J4" s="227" t="str">
        <x:v>数据模式</x:v>
      </x:c>
      <x:c r="K4" s="227" t="str">
        <x:v>搜索词</x:v>
      </x:c>
      <x:c r="L4" s="227" t="str">
        <x:v>源URL</x:v>
      </x:c>
      <x:c r="M4" s="228" t="str">
        <x:v>备注</x:v>
      </x:c>
    </x:row>
    <x:row r="5">
      <x:c r="A5" s="223" t="str">
        <x:v>P001</x:v>
      </x:c>
      <x:c r="B5" s="223" t="str">
        <x:v>Pikachu Promo PSA10</x:v>
      </x:c>
      <x:c r="C5" s="223" t="str">
        <x:v>eBay</x:v>
      </x:c>
      <x:c r="D5" s="282" t="n">
        <x:v>980</x:v>
      </x:c>
      <x:c r="E5" s="282" t="n">
        <x:v>1280</x:v>
      </x:c>
      <x:c r="F5" s="282" t="n">
        <x:v>980</x:v>
      </x:c>
      <x:c r="G5" s="282" t="n">
        <x:v>12</x:v>
      </x:c>
      <x:c r="H5" s="283" t="n">
        <x:v>46228</x:v>
      </x:c>
      <x:c r="I5" s="223" t="str">
        <x:v>样例</x:v>
      </x:c>
      <x:c r="J5" s="223" t="str">
        <x:v>API-ready</x:v>
      </x:c>
      <x:c r="K5" s="223" t="str">
        <x:v>Pikachu Promo PSA 10 SV-P</x:v>
      </x:c>
      <x:c r="L5" s="223" t="str">
        <x:v>https://www.ebay.com/sch/i.html?_nkw=Pikachu+Promo+PSA+10+SV-P</x:v>
      </x:c>
      <x:c r="M5" s="223" t="str">
        <x:v>待接 eBay API 后自动刷新</x:v>
      </x:c>
    </x:row>
    <x:row r="6">
      <x:c r="A6" s="223" t="str">
        <x:v>P001</x:v>
      </x:c>
      <x:c r="B6" s="223" t="str">
        <x:v>Pikachu Promo PSA10</x:v>
      </x:c>
      <x:c r="C6" s="223" t="str">
        <x:v>ALT</x:v>
      </x:c>
      <x:c r="D6" s="282" t="n">
        <x:v>1020</x:v>
      </x:c>
      <x:c r="E6" s="282" t="n">
        <x:v>1260</x:v>
      </x:c>
      <x:c r="F6" s="282" t="n">
        <x:v>1020</x:v>
      </x:c>
      <x:c r="G6" s="282" t="n">
        <x:v>4</x:v>
      </x:c>
      <x:c r="H6" s="283" t="n">
        <x:v>46228</x:v>
      </x:c>
      <x:c r="I6" s="223" t="str">
        <x:v>样例</x:v>
      </x:c>
      <x:c r="J6" s="223" t="str">
        <x:v>链接监控</x:v>
      </x:c>
      <x:c r="K6" s="223" t="str">
        <x:v>Pikachu Promo PSA 10</x:v>
      </x:c>
      <x:c r="L6" s="223" t="str">
        <x:v>https://www.alt.xyz</x:v>
      </x:c>
      <x:c r="M6" s="223" t="str">
        <x:v>需人工/登录态复核</x:v>
      </x:c>
    </x:row>
    <x:row r="7">
      <x:c r="A7" s="223" t="str">
        <x:v>P001</x:v>
      </x:c>
      <x:c r="B7" s="223" t="str">
        <x:v>Pikachu Promo PSA10</x:v>
      </x:c>
      <x:c r="C7" s="223" t="str">
        <x:v>Card Hobby</x:v>
      </x:c>
      <x:c r="D7" s="282" t="n">
        <x:v>930</x:v>
      </x:c>
      <x:c r="E7" s="282" t="n">
        <x:v>1180</x:v>
      </x:c>
      <x:c r="F7" s="282" t="n">
        <x:v>930</x:v>
      </x:c>
      <x:c r="G7" s="282" t="n">
        <x:v>5</x:v>
      </x:c>
      <x:c r="H7" s="283" t="n">
        <x:v>46228</x:v>
      </x:c>
      <x:c r="I7" s="223" t="str">
        <x:v>样例</x:v>
      </x:c>
      <x:c r="J7" s="223" t="str">
        <x:v>链接监控</x:v>
      </x:c>
      <x:c r="K7" s="223" t="str">
        <x:v>Pikachu Promo PSA10</x:v>
      </x:c>
      <x:c r="L7" s="223" t="str">
        <x:v>https://www.cardhobby.com</x:v>
      </x:c>
      <x:c r="M7" s="223" t="str">
        <x:v>需人工/登录态复核</x:v>
      </x:c>
    </x:row>
    <x:row r="8">
      <x:c r="A8" s="223" t="str">
        <x:v>P001</x:v>
      </x:c>
      <x:c r="B8" s="223" t="str">
        <x:v>Pikachu Promo PSA10</x:v>
      </x:c>
      <x:c r="C8" s="223" t="str">
        <x:v>Fanatics Collect</x:v>
      </x:c>
      <x:c r="D8" s="282" t="n">
        <x:v>1000</x:v>
      </x:c>
      <x:c r="E8" s="282" t="n">
        <x:v>1300</x:v>
      </x:c>
      <x:c r="F8" s="282" t="n">
        <x:v>1000</x:v>
      </x:c>
      <x:c r="G8" s="282" t="n">
        <x:v>3</x:v>
      </x:c>
      <x:c r="H8" s="283" t="n">
        <x:v>46228</x:v>
      </x:c>
      <x:c r="I8" s="223" t="str">
        <x:v>样例</x:v>
      </x:c>
      <x:c r="J8" s="223" t="str">
        <x:v>链接监控</x:v>
      </x:c>
      <x:c r="K8" s="223" t="str">
        <x:v>Pikachu Promo PSA 10</x:v>
      </x:c>
      <x:c r="L8" s="223" t="str">
        <x:v>https://www.fanaticscollect.com</x:v>
      </x:c>
      <x:c r="M8" s="223" t="str">
        <x:v>需人工/登录态复核</x:v>
      </x:c>
    </x:row>
    <x:row r="9">
      <x:c r="A9" s="223" t="str">
        <x:v>P001</x:v>
      </x:c>
      <x:c r="B9" s="223" t="str">
        <x:v>Pikachu Promo PSA10</x:v>
      </x:c>
      <x:c r="C9" s="223" t="str">
        <x:v>PokerColor</x:v>
      </x:c>
      <x:c r="D9" s="282" t="n">
        <x:v>960</x:v>
      </x:c>
      <x:c r="E9" s="282" t="n">
        <x:v>1210</x:v>
      </x:c>
      <x:c r="F9" s="282" t="n">
        <x:v>960</x:v>
      </x:c>
      <x:c r="G9" s="282" t="n">
        <x:v>4</x:v>
      </x:c>
      <x:c r="H9" s="283" t="n">
        <x:v>46228</x:v>
      </x:c>
      <x:c r="I9" s="223" t="str">
        <x:v>样例</x:v>
      </x:c>
      <x:c r="J9" s="223" t="str">
        <x:v>链接监控</x:v>
      </x:c>
      <x:c r="K9" s="223" t="str">
        <x:v>Pikachu Promo PSA10</x:v>
      </x:c>
      <x:c r="L9" s="223" t="str">
        <x:v>https://www.pokercolor.com</x:v>
      </x:c>
      <x:c r="M9" s="223" t="str">
        <x:v>需人工/登录态复核</x:v>
      </x:c>
    </x:row>
    <x:row r="10">
      <x:c r="A10" s="223" t="str">
        <x:v>P002</x:v>
      </x:c>
      <x:c r="B10" s="223" t="str">
        <x:v>Charizard ex SAR PSA10</x:v>
      </x:c>
      <x:c r="C10" s="223" t="str">
        <x:v>eBay</x:v>
      </x:c>
      <x:c r="D10" s="282" t="n">
        <x:v>1800</x:v>
      </x:c>
      <x:c r="E10" s="282" t="n">
        <x:v>2180</x:v>
      </x:c>
      <x:c r="F10" s="282" t="n">
        <x:v>1800</x:v>
      </x:c>
      <x:c r="G10" s="282" t="n">
        <x:v>20</x:v>
      </x:c>
      <x:c r="H10" s="283" t="n">
        <x:v>46228</x:v>
      </x:c>
      <x:c r="I10" s="223" t="str">
        <x:v>样例</x:v>
      </x:c>
      <x:c r="J10" s="223" t="str">
        <x:v>API-ready</x:v>
      </x:c>
      <x:c r="K10" s="223" t="str">
        <x:v>Charizard ex SAR PSA 10</x:v>
      </x:c>
      <x:c r="L10" s="223" t="str">
        <x:v>https://www.ebay.com/sch/i.html?_nkw=Charizard+ex+SAR+PSA+10</x:v>
      </x:c>
      <x:c r="M10" s="223" t="str">
        <x:v>待接 eBay API 后自动刷新</x:v>
      </x:c>
    </x:row>
    <x:row r="11">
      <x:c r="A11" s="223" t="str">
        <x:v>P002</x:v>
      </x:c>
      <x:c r="B11" s="223" t="str">
        <x:v>Charizard ex SAR PSA10</x:v>
      </x:c>
      <x:c r="C11" s="223" t="str">
        <x:v>ALT</x:v>
      </x:c>
      <x:c r="D11" s="282" t="n">
        <x:v>1760</x:v>
      </x:c>
      <x:c r="E11" s="282" t="n">
        <x:v>2120</x:v>
      </x:c>
      <x:c r="F11" s="282" t="n">
        <x:v>1760</x:v>
      </x:c>
      <x:c r="G11" s="282" t="n">
        <x:v>5</x:v>
      </x:c>
      <x:c r="H11" s="283" t="n">
        <x:v>46228</x:v>
      </x:c>
      <x:c r="I11" s="223" t="str">
        <x:v>样例</x:v>
      </x:c>
      <x:c r="J11" s="223" t="str">
        <x:v>链接监控</x:v>
      </x:c>
      <x:c r="K11" s="223" t="str">
        <x:v>Charizard ex SAR PSA 10</x:v>
      </x:c>
      <x:c r="L11" s="223" t="str">
        <x:v>https://www.alt.xyz</x:v>
      </x:c>
      <x:c r="M11" s="223" t="str">
        <x:v>需人工/登录态复核</x:v>
      </x:c>
    </x:row>
    <x:row r="12">
      <x:c r="A12" s="223" t="str">
        <x:v>P002</x:v>
      </x:c>
      <x:c r="B12" s="223" t="str">
        <x:v>Charizard ex SAR PSA10</x:v>
      </x:c>
      <x:c r="C12" s="223" t="str">
        <x:v>Card Hobby</x:v>
      </x:c>
      <x:c r="D12" s="282" t="n">
        <x:v>1700</x:v>
      </x:c>
      <x:c r="E12" s="282" t="n">
        <x:v>2050</x:v>
      </x:c>
      <x:c r="F12" s="282" t="n">
        <x:v>1700</x:v>
      </x:c>
      <x:c r="G12" s="282" t="n">
        <x:v>7</x:v>
      </x:c>
      <x:c r="H12" s="283" t="n">
        <x:v>46228</x:v>
      </x:c>
      <x:c r="I12" s="223" t="str">
        <x:v>样例</x:v>
      </x:c>
      <x:c r="J12" s="223" t="str">
        <x:v>链接监控</x:v>
      </x:c>
      <x:c r="K12" s="223" t="str">
        <x:v>Charizard ex SAR PSA10</x:v>
      </x:c>
      <x:c r="L12" s="223" t="str">
        <x:v>https://www.cardhobby.com</x:v>
      </x:c>
      <x:c r="M12" s="223" t="str">
        <x:v>需人工/登录态复核</x:v>
      </x:c>
    </x:row>
    <x:row r="13">
      <x:c r="A13" s="223" t="str">
        <x:v>P002</x:v>
      </x:c>
      <x:c r="B13" s="223" t="str">
        <x:v>Charizard ex SAR PSA10</x:v>
      </x:c>
      <x:c r="C13" s="223" t="str">
        <x:v>Fanatics Collect</x:v>
      </x:c>
      <x:c r="D13" s="282" t="n">
        <x:v>1840</x:v>
      </x:c>
      <x:c r="E13" s="282" t="n">
        <x:v>2200</x:v>
      </x:c>
      <x:c r="F13" s="282" t="n">
        <x:v>1840</x:v>
      </x:c>
      <x:c r="G13" s="282" t="n">
        <x:v>4</x:v>
      </x:c>
      <x:c r="H13" s="283" t="n">
        <x:v>46228</x:v>
      </x:c>
      <x:c r="I13" s="223" t="str">
        <x:v>样例</x:v>
      </x:c>
      <x:c r="J13" s="223" t="str">
        <x:v>链接监控</x:v>
      </x:c>
      <x:c r="K13" s="223" t="str">
        <x:v>Charizard ex SAR PSA 10</x:v>
      </x:c>
      <x:c r="L13" s="223" t="str">
        <x:v>https://www.fanaticscollect.com</x:v>
      </x:c>
      <x:c r="M13" s="223" t="str">
        <x:v>需人工/登录态复核</x:v>
      </x:c>
    </x:row>
    <x:row r="14">
      <x:c r="A14" s="223" t="str">
        <x:v>P002</x:v>
      </x:c>
      <x:c r="B14" s="223" t="str">
        <x:v>Charizard ex SAR PSA10</x:v>
      </x:c>
      <x:c r="C14" s="223" t="str">
        <x:v>PokerColor</x:v>
      </x:c>
      <x:c r="D14" s="282" t="n">
        <x:v>1720</x:v>
      </x:c>
      <x:c r="E14" s="282" t="n">
        <x:v>2080</x:v>
      </x:c>
      <x:c r="F14" s="282" t="n">
        <x:v>1720</x:v>
      </x:c>
      <x:c r="G14" s="282" t="n">
        <x:v>6</x:v>
      </x:c>
      <x:c r="H14" s="283" t="n">
        <x:v>46228</x:v>
      </x:c>
      <x:c r="I14" s="223" t="str">
        <x:v>样例</x:v>
      </x:c>
      <x:c r="J14" s="223" t="str">
        <x:v>链接监控</x:v>
      </x:c>
      <x:c r="K14" s="223" t="str">
        <x:v>Charizard ex SAR PSA10</x:v>
      </x:c>
      <x:c r="L14" s="223" t="str">
        <x:v>https://www.pokercolor.com</x:v>
      </x:c>
      <x:c r="M14" s="223" t="str">
        <x:v>需人工/登录态复核</x:v>
      </x:c>
    </x:row>
    <x:row r="15">
      <x:c r="A15" s="223" t="str">
        <x:v>P003</x:v>
      </x:c>
      <x:c r="B15" s="223" t="str">
        <x:v>Lillie Full Art PSA10</x:v>
      </x:c>
      <x:c r="C15" s="223" t="str">
        <x:v>eBay</x:v>
      </x:c>
      <x:c r="D15" s="282" t="n">
        <x:v>0</x:v>
      </x:c>
      <x:c r="E15" s="282" t="n">
        <x:v>0</x:v>
      </x:c>
      <x:c r="F15" s="282" t="n">
        <x:v>0</x:v>
      </x:c>
      <x:c r="G15" s="282" t="n">
        <x:v>0</x:v>
      </x:c>
      <x:c r="H15" s="283" t="n">
        <x:v>46228</x:v>
      </x:c>
      <x:c r="I15" s="223" t="str">
        <x:v>无数据</x:v>
      </x:c>
      <x:c r="J15" s="223" t="str">
        <x:v>API-ready</x:v>
      </x:c>
      <x:c r="K15" s="223" t="str">
        <x:v>Lillie Full Art PSA 10</x:v>
      </x:c>
      <x:c r="L15" s="223" t="str">
        <x:v>https://www.ebay.com/sch/i.html?_nkw=Lillie+Full+Art+PSA+10</x:v>
      </x:c>
      <x:c r="M15" s="223" t="str">
        <x:v>待接 eBay API 后自动刷新</x:v>
      </x:c>
    </x:row>
    <x:row r="16">
      <x:c r="A16" s="223" t="str">
        <x:v>P003</x:v>
      </x:c>
      <x:c r="B16" s="223" t="str">
        <x:v>Lillie Full Art PSA10</x:v>
      </x:c>
      <x:c r="C16" s="223" t="str">
        <x:v>ALT</x:v>
      </x:c>
      <x:c r="D16" s="282" t="n">
        <x:v>0</x:v>
      </x:c>
      <x:c r="E16" s="282" t="n">
        <x:v>7600</x:v>
      </x:c>
      <x:c r="F16" s="282" t="n">
        <x:v>0</x:v>
      </x:c>
      <x:c r="G16" s="282" t="n">
        <x:v>2</x:v>
      </x:c>
      <x:c r="H16" s="283" t="n">
        <x:v>46228</x:v>
      </x:c>
      <x:c r="I16" s="223" t="str">
        <x:v>样例</x:v>
      </x:c>
      <x:c r="J16" s="223" t="str">
        <x:v>链接监控</x:v>
      </x:c>
      <x:c r="K16" s="223" t="str">
        <x:v>Lillie Full Art PSA 10</x:v>
      </x:c>
      <x:c r="L16" s="223" t="str">
        <x:v>https://www.alt.xyz</x:v>
      </x:c>
      <x:c r="M16" s="223" t="str">
        <x:v>需人工/登录态复核</x:v>
      </x:c>
    </x:row>
    <x:row r="17">
      <x:c r="A17" s="223" t="str">
        <x:v>P003</x:v>
      </x:c>
      <x:c r="B17" s="223" t="str">
        <x:v>Lillie Full Art PSA10</x:v>
      </x:c>
      <x:c r="C17" s="223" t="str">
        <x:v>Card Hobby</x:v>
      </x:c>
      <x:c r="D17" s="282" t="n">
        <x:v>6800</x:v>
      </x:c>
      <x:c r="E17" s="282" t="n">
        <x:v>7200</x:v>
      </x:c>
      <x:c r="F17" s="282" t="n">
        <x:v>6800</x:v>
      </x:c>
      <x:c r="G17" s="282" t="n">
        <x:v>3</x:v>
      </x:c>
      <x:c r="H17" s="283" t="n">
        <x:v>46228</x:v>
      </x:c>
      <x:c r="I17" s="223" t="str">
        <x:v>样例</x:v>
      </x:c>
      <x:c r="J17" s="223" t="str">
        <x:v>链接监控</x:v>
      </x:c>
      <x:c r="K17" s="223" t="str">
        <x:v>Lillie PSA10</x:v>
      </x:c>
      <x:c r="L17" s="223" t="str">
        <x:v>https://www.cardhobby.com</x:v>
      </x:c>
      <x:c r="M17" s="223" t="str">
        <x:v>需人工/登录态复核</x:v>
      </x:c>
    </x:row>
    <x:row r="18">
      <x:c r="A18" s="223" t="str">
        <x:v>P003</x:v>
      </x:c>
      <x:c r="B18" s="223" t="str">
        <x:v>Lillie Full Art PSA10</x:v>
      </x:c>
      <x:c r="C18" s="223" t="str">
        <x:v>Fanatics Collect</x:v>
      </x:c>
      <x:c r="D18" s="282" t="n">
        <x:v>0</x:v>
      </x:c>
      <x:c r="E18" s="282" t="n">
        <x:v>0</x:v>
      </x:c>
      <x:c r="F18" s="282" t="n">
        <x:v>0</x:v>
      </x:c>
      <x:c r="G18" s="282" t="n">
        <x:v>0</x:v>
      </x:c>
      <x:c r="H18" s="283" t="n">
        <x:v>46228</x:v>
      </x:c>
      <x:c r="I18" s="223" t="str">
        <x:v>无数据</x:v>
      </x:c>
      <x:c r="J18" s="223" t="str">
        <x:v>链接监控</x:v>
      </x:c>
      <x:c r="K18" s="223" t="str">
        <x:v>Lillie Full Art PSA 10</x:v>
      </x:c>
      <x:c r="L18" s="223" t="str">
        <x:v>https://www.fanaticscollect.com</x:v>
      </x:c>
      <x:c r="M18" s="223" t="str">
        <x:v>需人工/登录态复核</x:v>
      </x:c>
    </x:row>
    <x:row r="19">
      <x:c r="A19" s="223" t="str">
        <x:v>P003</x:v>
      </x:c>
      <x:c r="B19" s="223" t="str">
        <x:v>Lillie Full Art PSA10</x:v>
      </x:c>
      <x:c r="C19" s="223" t="str">
        <x:v>PokerColor</x:v>
      </x:c>
      <x:c r="D19" s="282" t="n">
        <x:v>6500</x:v>
      </x:c>
      <x:c r="E19" s="282" t="n">
        <x:v>7350</x:v>
      </x:c>
      <x:c r="F19" s="282" t="n">
        <x:v>6500</x:v>
      </x:c>
      <x:c r="G19" s="282" t="n">
        <x:v>2</x:v>
      </x:c>
      <x:c r="H19" s="283" t="n">
        <x:v>46228</x:v>
      </x:c>
      <x:c r="I19" s="223" t="str">
        <x:v>样例</x:v>
      </x:c>
      <x:c r="J19" s="223" t="str">
        <x:v>链接监控</x:v>
      </x:c>
      <x:c r="K19" s="223" t="str">
        <x:v>Lillie PSA10</x:v>
      </x:c>
      <x:c r="L19" s="223" t="str">
        <x:v>https://www.pokercolor.com</x:v>
      </x:c>
      <x:c r="M19" s="223" t="str">
        <x:v>需人工/登录态复核</x:v>
      </x:c>
    </x:row>
    <x:row r="20">
      <x:c r="A20" s="223"/>
      <x:c r="B20" s="223"/>
      <x:c r="C20" s="223"/>
      <x:c r="D20" s="282"/>
      <x:c r="E20" s="282"/>
      <x:c r="F20" s="282"/>
      <x:c r="G20" s="282"/>
      <x:c r="H20" s="283"/>
      <x:c r="I20" s="223"/>
      <x:c r="J20" s="223"/>
      <x:c r="K20" s="223"/>
      <x:c r="L20" s="223"/>
      <x:c r="M20" s="223"/>
    </x:row>
    <x:row r="21">
      <x:c r="A21" s="223"/>
      <x:c r="B21" s="223"/>
      <x:c r="C21" s="223"/>
      <x:c r="D21" s="282"/>
      <x:c r="E21" s="282"/>
      <x:c r="F21" s="282"/>
      <x:c r="G21" s="282"/>
      <x:c r="H21" s="283"/>
      <x:c r="I21" s="223"/>
      <x:c r="J21" s="223"/>
      <x:c r="K21" s="223"/>
      <x:c r="L21" s="223"/>
      <x:c r="M21" s="223"/>
    </x:row>
    <x:row r="22">
      <x:c r="A22" s="223"/>
      <x:c r="B22" s="223"/>
      <x:c r="C22" s="223"/>
      <x:c r="D22" s="282"/>
      <x:c r="E22" s="282"/>
      <x:c r="F22" s="282"/>
      <x:c r="G22" s="282"/>
      <x:c r="H22" s="283"/>
      <x:c r="I22" s="223"/>
      <x:c r="J22" s="223"/>
      <x:c r="K22" s="223"/>
      <x:c r="L22" s="223"/>
      <x:c r="M22" s="223"/>
    </x:row>
    <x:row r="23">
      <x:c r="A23" s="223"/>
      <x:c r="B23" s="223"/>
      <x:c r="C23" s="223"/>
      <x:c r="D23" s="282"/>
      <x:c r="E23" s="282"/>
      <x:c r="F23" s="282"/>
      <x:c r="G23" s="282"/>
      <x:c r="H23" s="283"/>
      <x:c r="I23" s="223"/>
      <x:c r="J23" s="223"/>
      <x:c r="K23" s="223"/>
      <x:c r="L23" s="223"/>
      <x:c r="M23" s="223"/>
    </x:row>
    <x:row r="24">
      <x:c r="A24" s="223"/>
      <x:c r="B24" s="223"/>
      <x:c r="C24" s="223"/>
      <x:c r="D24" s="282"/>
      <x:c r="E24" s="282"/>
      <x:c r="F24" s="282"/>
      <x:c r="G24" s="282"/>
      <x:c r="H24" s="283"/>
      <x:c r="I24" s="223"/>
      <x:c r="J24" s="223"/>
      <x:c r="K24" s="223"/>
      <x:c r="L24" s="223"/>
      <x:c r="M24" s="223"/>
    </x:row>
    <x:row r="25">
      <x:c r="A25" s="223"/>
      <x:c r="B25" s="223"/>
      <x:c r="C25" s="223"/>
      <x:c r="D25" s="282"/>
      <x:c r="E25" s="282"/>
      <x:c r="F25" s="282"/>
      <x:c r="G25" s="282"/>
      <x:c r="H25" s="283"/>
      <x:c r="I25" s="223"/>
      <x:c r="J25" s="223"/>
      <x:c r="K25" s="223"/>
      <x:c r="L25" s="223"/>
      <x:c r="M25" s="223"/>
    </x:row>
    <x:row r="26">
      <x:c r="A26" s="223"/>
      <x:c r="B26" s="223"/>
      <x:c r="C26" s="223"/>
      <x:c r="D26" s="282"/>
      <x:c r="E26" s="282"/>
      <x:c r="F26" s="282"/>
      <x:c r="G26" s="282"/>
      <x:c r="H26" s="283"/>
      <x:c r="I26" s="223"/>
      <x:c r="J26" s="223"/>
      <x:c r="K26" s="223"/>
      <x:c r="L26" s="223"/>
      <x:c r="M26" s="223"/>
    </x:row>
    <x:row r="27">
      <x:c r="A27" s="223"/>
      <x:c r="B27" s="223"/>
      <x:c r="C27" s="223"/>
      <x:c r="D27" s="282"/>
      <x:c r="E27" s="282"/>
      <x:c r="F27" s="282"/>
      <x:c r="G27" s="282"/>
      <x:c r="H27" s="283"/>
      <x:c r="I27" s="223"/>
      <x:c r="J27" s="223"/>
      <x:c r="K27" s="223"/>
      <x:c r="L27" s="223"/>
      <x:c r="M27" s="223"/>
    </x:row>
    <x:row r="28">
      <x:c r="A28" s="223"/>
      <x:c r="B28" s="223"/>
      <x:c r="C28" s="223"/>
      <x:c r="D28" s="282"/>
      <x:c r="E28" s="282"/>
      <x:c r="F28" s="282"/>
      <x:c r="G28" s="282"/>
      <x:c r="H28" s="283"/>
      <x:c r="I28" s="223"/>
      <x:c r="J28" s="223"/>
      <x:c r="K28" s="223"/>
      <x:c r="L28" s="223"/>
      <x:c r="M28" s="223"/>
    </x:row>
    <x:row r="29">
      <x:c r="A29" s="223"/>
      <x:c r="B29" s="223"/>
      <x:c r="C29" s="223"/>
      <x:c r="D29" s="282"/>
      <x:c r="E29" s="282"/>
      <x:c r="F29" s="282"/>
      <x:c r="G29" s="282"/>
      <x:c r="H29" s="283"/>
      <x:c r="I29" s="223"/>
      <x:c r="J29" s="223"/>
      <x:c r="K29" s="223"/>
      <x:c r="L29" s="223"/>
      <x:c r="M29" s="223"/>
    </x:row>
    <x:row r="30">
      <x:c r="A30" s="223"/>
      <x:c r="B30" s="223"/>
      <x:c r="C30" s="223"/>
      <x:c r="D30" s="282"/>
      <x:c r="E30" s="282"/>
      <x:c r="F30" s="282"/>
      <x:c r="G30" s="282"/>
      <x:c r="H30" s="283"/>
      <x:c r="I30" s="223"/>
      <x:c r="J30" s="223"/>
      <x:c r="K30" s="223"/>
      <x:c r="L30" s="223"/>
      <x:c r="M30" s="223"/>
    </x:row>
    <x:row r="31">
      <x:c r="A31" s="223"/>
      <x:c r="B31" s="223"/>
      <x:c r="C31" s="223"/>
      <x:c r="D31" s="282"/>
      <x:c r="E31" s="282"/>
      <x:c r="F31" s="282"/>
      <x:c r="G31" s="282"/>
      <x:c r="H31" s="283"/>
      <x:c r="I31" s="223"/>
      <x:c r="J31" s="223"/>
      <x:c r="K31" s="223"/>
      <x:c r="L31" s="223"/>
      <x:c r="M31" s="223"/>
    </x:row>
    <x:row r="32">
      <x:c r="A32" s="223"/>
      <x:c r="B32" s="223"/>
      <x:c r="C32" s="223"/>
      <x:c r="D32" s="282"/>
      <x:c r="E32" s="282"/>
      <x:c r="F32" s="282"/>
      <x:c r="G32" s="282"/>
      <x:c r="H32" s="283"/>
      <x:c r="I32" s="223"/>
      <x:c r="J32" s="223"/>
      <x:c r="K32" s="223"/>
      <x:c r="L32" s="223"/>
      <x:c r="M32" s="223"/>
    </x:row>
    <x:row r="33">
      <x:c r="A33" s="223"/>
      <x:c r="B33" s="223"/>
      <x:c r="C33" s="223"/>
      <x:c r="D33" s="282"/>
      <x:c r="E33" s="282"/>
      <x:c r="F33" s="282"/>
      <x:c r="G33" s="282"/>
      <x:c r="H33" s="283"/>
      <x:c r="I33" s="223"/>
      <x:c r="J33" s="223"/>
      <x:c r="K33" s="223"/>
      <x:c r="L33" s="223"/>
      <x:c r="M33" s="223"/>
    </x:row>
    <x:row r="34">
      <x:c r="A34" s="223"/>
      <x:c r="B34" s="223"/>
      <x:c r="C34" s="223"/>
      <x:c r="D34" s="282"/>
      <x:c r="E34" s="282"/>
      <x:c r="F34" s="282"/>
      <x:c r="G34" s="282"/>
      <x:c r="H34" s="283"/>
      <x:c r="I34" s="223"/>
      <x:c r="J34" s="223"/>
      <x:c r="K34" s="223"/>
      <x:c r="L34" s="223"/>
      <x:c r="M34" s="223"/>
    </x:row>
    <x:row r="35">
      <x:c r="A35" s="223"/>
      <x:c r="B35" s="223"/>
      <x:c r="C35" s="223"/>
      <x:c r="D35" s="282"/>
      <x:c r="E35" s="282"/>
      <x:c r="F35" s="282"/>
      <x:c r="G35" s="282"/>
      <x:c r="H35" s="283"/>
      <x:c r="I35" s="223"/>
      <x:c r="J35" s="223"/>
      <x:c r="K35" s="223"/>
      <x:c r="L35" s="223"/>
      <x:c r="M35" s="223"/>
    </x:row>
    <x:row r="36">
      <x:c r="A36" s="223"/>
      <x:c r="B36" s="223"/>
      <x:c r="C36" s="223"/>
      <x:c r="D36" s="282"/>
      <x:c r="E36" s="282"/>
      <x:c r="F36" s="282"/>
      <x:c r="G36" s="282"/>
      <x:c r="H36" s="283"/>
      <x:c r="I36" s="223"/>
      <x:c r="J36" s="223"/>
      <x:c r="K36" s="223"/>
      <x:c r="L36" s="223"/>
      <x:c r="M36" s="223"/>
    </x:row>
    <x:row r="37">
      <x:c r="A37" s="223"/>
      <x:c r="B37" s="223"/>
      <x:c r="C37" s="223"/>
      <x:c r="D37" s="282"/>
      <x:c r="E37" s="282"/>
      <x:c r="F37" s="282"/>
      <x:c r="G37" s="282"/>
      <x:c r="H37" s="283"/>
      <x:c r="I37" s="223"/>
      <x:c r="J37" s="223"/>
      <x:c r="K37" s="223"/>
      <x:c r="L37" s="223"/>
      <x:c r="M37" s="223"/>
    </x:row>
    <x:row r="38">
      <x:c r="A38" s="223"/>
      <x:c r="B38" s="223"/>
      <x:c r="C38" s="223"/>
      <x:c r="D38" s="282"/>
      <x:c r="E38" s="282"/>
      <x:c r="F38" s="282"/>
      <x:c r="G38" s="282"/>
      <x:c r="H38" s="283"/>
      <x:c r="I38" s="223"/>
      <x:c r="J38" s="223"/>
      <x:c r="K38" s="223"/>
      <x:c r="L38" s="223"/>
      <x:c r="M38" s="223"/>
    </x:row>
    <x:row r="39">
      <x:c r="A39" s="223"/>
      <x:c r="B39" s="223"/>
      <x:c r="C39" s="223"/>
      <x:c r="D39" s="282"/>
      <x:c r="E39" s="282"/>
      <x:c r="F39" s="282"/>
      <x:c r="G39" s="282"/>
      <x:c r="H39" s="283"/>
      <x:c r="I39" s="223"/>
      <x:c r="J39" s="223"/>
      <x:c r="K39" s="223"/>
      <x:c r="L39" s="223"/>
      <x:c r="M39" s="223"/>
    </x:row>
    <x:row r="40">
      <x:c r="A40" s="223"/>
      <x:c r="B40" s="223"/>
      <x:c r="C40" s="223"/>
      <x:c r="D40" s="282"/>
      <x:c r="E40" s="282"/>
      <x:c r="F40" s="282"/>
      <x:c r="G40" s="282"/>
      <x:c r="H40" s="283"/>
      <x:c r="I40" s="223"/>
      <x:c r="J40" s="223"/>
      <x:c r="K40" s="223"/>
      <x:c r="L40" s="223"/>
      <x:c r="M40" s="223"/>
    </x:row>
    <x:row r="41">
      <x:c r="A41" s="223"/>
      <x:c r="B41" s="223"/>
      <x:c r="C41" s="223"/>
      <x:c r="D41" s="282"/>
      <x:c r="E41" s="282"/>
      <x:c r="F41" s="282"/>
      <x:c r="G41" s="282"/>
      <x:c r="H41" s="283"/>
      <x:c r="I41" s="223"/>
      <x:c r="J41" s="223"/>
      <x:c r="K41" s="223"/>
      <x:c r="L41" s="223"/>
      <x:c r="M41" s="223"/>
    </x:row>
    <x:row r="42">
      <x:c r="A42" s="223"/>
      <x:c r="B42" s="223"/>
      <x:c r="C42" s="223"/>
      <x:c r="D42" s="282"/>
      <x:c r="E42" s="282"/>
      <x:c r="F42" s="282"/>
      <x:c r="G42" s="282"/>
      <x:c r="H42" s="283"/>
      <x:c r="I42" s="223"/>
      <x:c r="J42" s="223"/>
      <x:c r="K42" s="223"/>
      <x:c r="L42" s="223"/>
      <x:c r="M42" s="223"/>
    </x:row>
    <x:row r="43">
      <x:c r="A43" s="223"/>
      <x:c r="B43" s="223"/>
      <x:c r="C43" s="223"/>
      <x:c r="D43" s="282"/>
      <x:c r="E43" s="282"/>
      <x:c r="F43" s="282"/>
      <x:c r="G43" s="282"/>
      <x:c r="H43" s="283"/>
      <x:c r="I43" s="223"/>
      <x:c r="J43" s="223"/>
      <x:c r="K43" s="223"/>
      <x:c r="L43" s="223"/>
      <x:c r="M43" s="223"/>
    </x:row>
    <x:row r="44">
      <x:c r="A44" s="223"/>
      <x:c r="B44" s="223"/>
      <x:c r="C44" s="223"/>
      <x:c r="D44" s="282"/>
      <x:c r="E44" s="282"/>
      <x:c r="F44" s="282"/>
      <x:c r="G44" s="282"/>
      <x:c r="H44" s="283"/>
      <x:c r="I44" s="223"/>
      <x:c r="J44" s="223"/>
      <x:c r="K44" s="223"/>
      <x:c r="L44" s="223"/>
      <x:c r="M44" s="223"/>
    </x:row>
    <x:row r="45">
      <x:c r="A45" s="223"/>
      <x:c r="B45" s="223"/>
      <x:c r="C45" s="223"/>
      <x:c r="D45" s="282"/>
      <x:c r="E45" s="282"/>
      <x:c r="F45" s="282"/>
      <x:c r="G45" s="282"/>
      <x:c r="H45" s="283"/>
      <x:c r="I45" s="223"/>
      <x:c r="J45" s="223"/>
      <x:c r="K45" s="223"/>
      <x:c r="L45" s="223"/>
      <x:c r="M45" s="223"/>
    </x:row>
    <x:row r="46">
      <x:c r="A46" s="223"/>
      <x:c r="B46" s="223"/>
      <x:c r="C46" s="223"/>
      <x:c r="D46" s="282"/>
      <x:c r="E46" s="282"/>
      <x:c r="F46" s="282"/>
      <x:c r="G46" s="282"/>
      <x:c r="H46" s="283"/>
      <x:c r="I46" s="223"/>
      <x:c r="J46" s="223"/>
      <x:c r="K46" s="223"/>
      <x:c r="L46" s="223"/>
      <x:c r="M46" s="223"/>
    </x:row>
    <x:row r="47">
      <x:c r="A47" s="223"/>
      <x:c r="B47" s="223"/>
      <x:c r="C47" s="223"/>
      <x:c r="D47" s="282"/>
      <x:c r="E47" s="282"/>
      <x:c r="F47" s="282"/>
      <x:c r="G47" s="282"/>
      <x:c r="H47" s="283"/>
      <x:c r="I47" s="223"/>
      <x:c r="J47" s="223"/>
      <x:c r="K47" s="223"/>
      <x:c r="L47" s="223"/>
      <x:c r="M47" s="223"/>
    </x:row>
    <x:row r="48">
      <x:c r="A48" s="223"/>
      <x:c r="B48" s="223"/>
      <x:c r="C48" s="223"/>
      <x:c r="D48" s="282"/>
      <x:c r="E48" s="282"/>
      <x:c r="F48" s="282"/>
      <x:c r="G48" s="282"/>
      <x:c r="H48" s="283"/>
      <x:c r="I48" s="223"/>
      <x:c r="J48" s="223"/>
      <x:c r="K48" s="223"/>
      <x:c r="L48" s="223"/>
      <x:c r="M48" s="223"/>
    </x:row>
    <x:row r="49">
      <x:c r="A49" s="223"/>
      <x:c r="B49" s="223"/>
      <x:c r="C49" s="223"/>
      <x:c r="D49" s="282"/>
      <x:c r="E49" s="282"/>
      <x:c r="F49" s="282"/>
      <x:c r="G49" s="282"/>
      <x:c r="H49" s="283"/>
      <x:c r="I49" s="223"/>
      <x:c r="J49" s="223"/>
      <x:c r="K49" s="223"/>
      <x:c r="L49" s="223"/>
      <x:c r="M49" s="223"/>
    </x:row>
    <x:row r="50">
      <x:c r="A50" s="223"/>
      <x:c r="B50" s="223"/>
      <x:c r="C50" s="223"/>
      <x:c r="D50" s="282"/>
      <x:c r="E50" s="282"/>
      <x:c r="F50" s="282"/>
      <x:c r="G50" s="282"/>
      <x:c r="H50" s="283"/>
      <x:c r="I50" s="223"/>
      <x:c r="J50" s="223"/>
      <x:c r="K50" s="223"/>
      <x:c r="L50" s="223"/>
      <x:c r="M50" s="223"/>
    </x:row>
    <x:row r="51">
      <x:c r="A51" s="223"/>
      <x:c r="B51" s="223"/>
      <x:c r="C51" s="223"/>
      <x:c r="D51" s="282"/>
      <x:c r="E51" s="282"/>
      <x:c r="F51" s="282"/>
      <x:c r="G51" s="282"/>
      <x:c r="H51" s="283"/>
      <x:c r="I51" s="223"/>
      <x:c r="J51" s="223"/>
      <x:c r="K51" s="223"/>
      <x:c r="L51" s="223"/>
      <x:c r="M51" s="223"/>
    </x:row>
    <x:row r="52">
      <x:c r="A52" s="223"/>
      <x:c r="B52" s="223"/>
      <x:c r="C52" s="223"/>
      <x:c r="D52" s="282"/>
      <x:c r="E52" s="282"/>
      <x:c r="F52" s="282"/>
      <x:c r="G52" s="282"/>
      <x:c r="H52" s="283"/>
      <x:c r="I52" s="223"/>
      <x:c r="J52" s="223"/>
      <x:c r="K52" s="223"/>
      <x:c r="L52" s="223"/>
      <x:c r="M52" s="223"/>
    </x:row>
    <x:row r="53">
      <x:c r="A53" s="223"/>
      <x:c r="B53" s="223"/>
      <x:c r="C53" s="223"/>
      <x:c r="D53" s="282"/>
      <x:c r="E53" s="282"/>
      <x:c r="F53" s="282"/>
      <x:c r="G53" s="282"/>
      <x:c r="H53" s="283"/>
      <x:c r="I53" s="223"/>
      <x:c r="J53" s="223"/>
      <x:c r="K53" s="223"/>
      <x:c r="L53" s="223"/>
      <x:c r="M53" s="223"/>
    </x:row>
    <x:row r="54">
      <x:c r="A54" s="223"/>
      <x:c r="B54" s="223"/>
      <x:c r="C54" s="223"/>
      <x:c r="D54" s="282"/>
      <x:c r="E54" s="282"/>
      <x:c r="F54" s="282"/>
      <x:c r="G54" s="282"/>
      <x:c r="H54" s="283"/>
      <x:c r="I54" s="223"/>
      <x:c r="J54" s="223"/>
      <x:c r="K54" s="223"/>
      <x:c r="L54" s="223"/>
      <x:c r="M54" s="223"/>
    </x:row>
    <x:row r="55">
      <x:c r="A55" s="223"/>
      <x:c r="B55" s="223"/>
      <x:c r="C55" s="223"/>
      <x:c r="D55" s="282"/>
      <x:c r="E55" s="282"/>
      <x:c r="F55" s="282"/>
      <x:c r="G55" s="282"/>
      <x:c r="H55" s="283"/>
      <x:c r="I55" s="223"/>
      <x:c r="J55" s="223"/>
      <x:c r="K55" s="223"/>
      <x:c r="L55" s="223"/>
      <x:c r="M55" s="223"/>
    </x:row>
    <x:row r="56">
      <x:c r="A56" s="223"/>
      <x:c r="B56" s="223"/>
      <x:c r="C56" s="223"/>
      <x:c r="D56" s="282"/>
      <x:c r="E56" s="282"/>
      <x:c r="F56" s="282"/>
      <x:c r="G56" s="282"/>
      <x:c r="H56" s="283"/>
      <x:c r="I56" s="223"/>
      <x:c r="J56" s="223"/>
      <x:c r="K56" s="223"/>
      <x:c r="L56" s="223"/>
      <x:c r="M56" s="223"/>
    </x:row>
    <x:row r="57">
      <x:c r="A57" s="223"/>
      <x:c r="B57" s="223"/>
      <x:c r="C57" s="223"/>
      <x:c r="D57" s="282"/>
      <x:c r="E57" s="282"/>
      <x:c r="F57" s="282"/>
      <x:c r="G57" s="282"/>
      <x:c r="H57" s="283"/>
      <x:c r="I57" s="223"/>
      <x:c r="J57" s="223"/>
      <x:c r="K57" s="223"/>
      <x:c r="L57" s="223"/>
      <x:c r="M57" s="223"/>
    </x:row>
    <x:row r="58">
      <x:c r="A58" s="223"/>
      <x:c r="B58" s="223"/>
      <x:c r="C58" s="223"/>
      <x:c r="D58" s="282"/>
      <x:c r="E58" s="282"/>
      <x:c r="F58" s="282"/>
      <x:c r="G58" s="282"/>
      <x:c r="H58" s="283"/>
      <x:c r="I58" s="223"/>
      <x:c r="J58" s="223"/>
      <x:c r="K58" s="223"/>
      <x:c r="L58" s="223"/>
      <x:c r="M58" s="223"/>
    </x:row>
    <x:row r="59">
      <x:c r="A59" s="223"/>
      <x:c r="B59" s="223"/>
      <x:c r="C59" s="223"/>
      <x:c r="D59" s="282"/>
      <x:c r="E59" s="282"/>
      <x:c r="F59" s="282"/>
      <x:c r="G59" s="282"/>
      <x:c r="H59" s="283"/>
      <x:c r="I59" s="223"/>
      <x:c r="J59" s="223"/>
      <x:c r="K59" s="223"/>
      <x:c r="L59" s="223"/>
      <x:c r="M59" s="223"/>
    </x:row>
    <x:row r="60">
      <x:c r="A60" s="223"/>
      <x:c r="B60" s="223"/>
      <x:c r="C60" s="223"/>
      <x:c r="D60" s="282"/>
      <x:c r="E60" s="282"/>
      <x:c r="F60" s="282"/>
      <x:c r="G60" s="282"/>
      <x:c r="H60" s="283"/>
      <x:c r="I60" s="223"/>
      <x:c r="J60" s="223"/>
      <x:c r="K60" s="223"/>
      <x:c r="L60" s="223"/>
      <x:c r="M60" s="223"/>
    </x:row>
    <x:row r="61">
      <x:c r="A61" s="223"/>
      <x:c r="B61" s="223"/>
      <x:c r="C61" s="223"/>
      <x:c r="D61" s="282"/>
      <x:c r="E61" s="282"/>
      <x:c r="F61" s="282"/>
      <x:c r="G61" s="282"/>
      <x:c r="H61" s="283"/>
      <x:c r="I61" s="223"/>
      <x:c r="J61" s="223"/>
      <x:c r="K61" s="223"/>
      <x:c r="L61" s="223"/>
      <x:c r="M61" s="223"/>
    </x:row>
    <x:row r="62">
      <x:c r="A62" s="223"/>
      <x:c r="B62" s="223"/>
      <x:c r="C62" s="223"/>
      <x:c r="D62" s="282"/>
      <x:c r="E62" s="282"/>
      <x:c r="F62" s="282"/>
      <x:c r="G62" s="282"/>
      <x:c r="H62" s="283"/>
      <x:c r="I62" s="223"/>
      <x:c r="J62" s="223"/>
      <x:c r="K62" s="223"/>
      <x:c r="L62" s="223"/>
      <x:c r="M62" s="223"/>
    </x:row>
    <x:row r="63">
      <x:c r="A63" s="223"/>
      <x:c r="B63" s="223"/>
      <x:c r="C63" s="223"/>
      <x:c r="D63" s="282"/>
      <x:c r="E63" s="282"/>
      <x:c r="F63" s="282"/>
      <x:c r="G63" s="282"/>
      <x:c r="H63" s="283"/>
      <x:c r="I63" s="223"/>
      <x:c r="J63" s="223"/>
      <x:c r="K63" s="223"/>
      <x:c r="L63" s="223"/>
      <x:c r="M63" s="223"/>
    </x:row>
    <x:row r="64">
      <x:c r="A64" s="223"/>
      <x:c r="B64" s="223"/>
      <x:c r="C64" s="223"/>
      <x:c r="D64" s="282"/>
      <x:c r="E64" s="282"/>
      <x:c r="F64" s="282"/>
      <x:c r="G64" s="282"/>
      <x:c r="H64" s="283"/>
      <x:c r="I64" s="223"/>
      <x:c r="J64" s="223"/>
      <x:c r="K64" s="223"/>
      <x:c r="L64" s="223"/>
      <x:c r="M64" s="223"/>
    </x:row>
    <x:row r="65">
      <x:c r="A65" s="223"/>
      <x:c r="B65" s="223"/>
      <x:c r="C65" s="223"/>
      <x:c r="D65" s="282"/>
      <x:c r="E65" s="282"/>
      <x:c r="F65" s="282"/>
      <x:c r="G65" s="282"/>
      <x:c r="H65" s="283"/>
      <x:c r="I65" s="223"/>
      <x:c r="J65" s="223"/>
      <x:c r="K65" s="223"/>
      <x:c r="L65" s="223"/>
      <x:c r="M65" s="223"/>
    </x:row>
    <x:row r="66">
      <x:c r="A66" s="223"/>
      <x:c r="B66" s="223"/>
      <x:c r="C66" s="223"/>
      <x:c r="D66" s="282"/>
      <x:c r="E66" s="282"/>
      <x:c r="F66" s="282"/>
      <x:c r="G66" s="282"/>
      <x:c r="H66" s="283"/>
      <x:c r="I66" s="223"/>
      <x:c r="J66" s="223"/>
      <x:c r="K66" s="223"/>
      <x:c r="L66" s="223"/>
      <x:c r="M66" s="223"/>
    </x:row>
    <x:row r="67">
      <x:c r="A67" s="223"/>
      <x:c r="B67" s="223"/>
      <x:c r="C67" s="223"/>
      <x:c r="D67" s="282"/>
      <x:c r="E67" s="282"/>
      <x:c r="F67" s="282"/>
      <x:c r="G67" s="282"/>
      <x:c r="H67" s="283"/>
      <x:c r="I67" s="223"/>
      <x:c r="J67" s="223"/>
      <x:c r="K67" s="223"/>
      <x:c r="L67" s="223"/>
      <x:c r="M67" s="223"/>
    </x:row>
    <x:row r="68">
      <x:c r="A68" s="223"/>
      <x:c r="B68" s="223"/>
      <x:c r="C68" s="223"/>
      <x:c r="D68" s="282"/>
      <x:c r="E68" s="282"/>
      <x:c r="F68" s="282"/>
      <x:c r="G68" s="282"/>
      <x:c r="H68" s="283"/>
      <x:c r="I68" s="223"/>
      <x:c r="J68" s="223"/>
      <x:c r="K68" s="223"/>
      <x:c r="L68" s="223"/>
      <x:c r="M68" s="223"/>
    </x:row>
    <x:row r="69">
      <x:c r="A69" s="223"/>
      <x:c r="B69" s="223"/>
      <x:c r="C69" s="223"/>
      <x:c r="D69" s="282"/>
      <x:c r="E69" s="282"/>
      <x:c r="F69" s="282"/>
      <x:c r="G69" s="282"/>
      <x:c r="H69" s="283"/>
      <x:c r="I69" s="223"/>
      <x:c r="J69" s="223"/>
      <x:c r="K69" s="223"/>
      <x:c r="L69" s="223"/>
      <x:c r="M69" s="223"/>
    </x:row>
    <x:row r="70">
      <x:c r="A70" s="223"/>
      <x:c r="B70" s="223"/>
      <x:c r="C70" s="223"/>
      <x:c r="D70" s="282"/>
      <x:c r="E70" s="282"/>
      <x:c r="F70" s="282"/>
      <x:c r="G70" s="282"/>
      <x:c r="H70" s="283"/>
      <x:c r="I70" s="223"/>
      <x:c r="J70" s="223"/>
      <x:c r="K70" s="223"/>
      <x:c r="L70" s="223"/>
      <x:c r="M70" s="223"/>
    </x:row>
    <x:row r="71">
      <x:c r="A71" s="223"/>
      <x:c r="B71" s="223"/>
      <x:c r="C71" s="223"/>
      <x:c r="D71" s="282"/>
      <x:c r="E71" s="282"/>
      <x:c r="F71" s="282"/>
      <x:c r="G71" s="282"/>
      <x:c r="H71" s="283"/>
      <x:c r="I71" s="223"/>
      <x:c r="J71" s="223"/>
      <x:c r="K71" s="223"/>
      <x:c r="L71" s="223"/>
      <x:c r="M71" s="223"/>
    </x:row>
    <x:row r="72">
      <x:c r="A72" s="223"/>
      <x:c r="B72" s="223"/>
      <x:c r="C72" s="223"/>
      <x:c r="D72" s="282"/>
      <x:c r="E72" s="282"/>
      <x:c r="F72" s="282"/>
      <x:c r="G72" s="282"/>
      <x:c r="H72" s="283"/>
      <x:c r="I72" s="223"/>
      <x:c r="J72" s="223"/>
      <x:c r="K72" s="223"/>
      <x:c r="L72" s="223"/>
      <x:c r="M72" s="223"/>
    </x:row>
    <x:row r="73">
      <x:c r="A73" s="223"/>
      <x:c r="B73" s="223"/>
      <x:c r="C73" s="223"/>
      <x:c r="D73" s="282"/>
      <x:c r="E73" s="282"/>
      <x:c r="F73" s="282"/>
      <x:c r="G73" s="282"/>
      <x:c r="H73" s="283"/>
      <x:c r="I73" s="223"/>
      <x:c r="J73" s="223"/>
      <x:c r="K73" s="223"/>
      <x:c r="L73" s="223"/>
      <x:c r="M73" s="223"/>
    </x:row>
    <x:row r="74">
      <x:c r="A74" s="223"/>
      <x:c r="B74" s="223"/>
      <x:c r="C74" s="223"/>
      <x:c r="D74" s="282"/>
      <x:c r="E74" s="282"/>
      <x:c r="F74" s="282"/>
      <x:c r="G74" s="282"/>
      <x:c r="H74" s="283"/>
      <x:c r="I74" s="223"/>
      <x:c r="J74" s="223"/>
      <x:c r="K74" s="223"/>
      <x:c r="L74" s="223"/>
      <x:c r="M74" s="223"/>
    </x:row>
    <x:row r="75">
      <x:c r="A75" s="223"/>
      <x:c r="B75" s="223"/>
      <x:c r="C75" s="223"/>
      <x:c r="D75" s="282"/>
      <x:c r="E75" s="282"/>
      <x:c r="F75" s="282"/>
      <x:c r="G75" s="282"/>
      <x:c r="H75" s="283"/>
      <x:c r="I75" s="223"/>
      <x:c r="J75" s="223"/>
      <x:c r="K75" s="223"/>
      <x:c r="L75" s="223"/>
      <x:c r="M75" s="223"/>
    </x:row>
    <x:row r="76">
      <x:c r="A76" s="223"/>
      <x:c r="B76" s="223"/>
      <x:c r="C76" s="223"/>
      <x:c r="D76" s="282"/>
      <x:c r="E76" s="282"/>
      <x:c r="F76" s="282"/>
      <x:c r="G76" s="282"/>
      <x:c r="H76" s="283"/>
      <x:c r="I76" s="223"/>
      <x:c r="J76" s="223"/>
      <x:c r="K76" s="223"/>
      <x:c r="L76" s="223"/>
      <x:c r="M76" s="223"/>
    </x:row>
    <x:row r="77">
      <x:c r="A77" s="223"/>
      <x:c r="B77" s="223"/>
      <x:c r="C77" s="223"/>
      <x:c r="D77" s="282"/>
      <x:c r="E77" s="282"/>
      <x:c r="F77" s="282"/>
      <x:c r="G77" s="282"/>
      <x:c r="H77" s="283"/>
      <x:c r="I77" s="223"/>
      <x:c r="J77" s="223"/>
      <x:c r="K77" s="223"/>
      <x:c r="L77" s="223"/>
      <x:c r="M77" s="223"/>
    </x:row>
    <x:row r="78">
      <x:c r="A78" s="223"/>
      <x:c r="B78" s="223"/>
      <x:c r="C78" s="223"/>
      <x:c r="D78" s="282"/>
      <x:c r="E78" s="282"/>
      <x:c r="F78" s="282"/>
      <x:c r="G78" s="282"/>
      <x:c r="H78" s="283"/>
      <x:c r="I78" s="223"/>
      <x:c r="J78" s="223"/>
      <x:c r="K78" s="223"/>
      <x:c r="L78" s="223"/>
      <x:c r="M78" s="223"/>
    </x:row>
    <x:row r="79">
      <x:c r="A79" s="223"/>
      <x:c r="B79" s="223"/>
      <x:c r="C79" s="223"/>
      <x:c r="D79" s="282"/>
      <x:c r="E79" s="282"/>
      <x:c r="F79" s="282"/>
      <x:c r="G79" s="282"/>
      <x:c r="H79" s="283"/>
      <x:c r="I79" s="223"/>
      <x:c r="J79" s="223"/>
      <x:c r="K79" s="223"/>
      <x:c r="L79" s="223"/>
      <x:c r="M79" s="223"/>
    </x:row>
    <x:row r="80">
      <x:c r="A80" s="223"/>
      <x:c r="B80" s="223"/>
      <x:c r="C80" s="223"/>
      <x:c r="D80" s="282"/>
      <x:c r="E80" s="282"/>
      <x:c r="F80" s="282"/>
      <x:c r="G80" s="282"/>
      <x:c r="H80" s="283"/>
      <x:c r="I80" s="223"/>
      <x:c r="J80" s="223"/>
      <x:c r="K80" s="223"/>
      <x:c r="L80" s="223"/>
      <x:c r="M80" s="223"/>
    </x:row>
    <x:row r="81">
      <x:c r="A81" s="223"/>
      <x:c r="B81" s="223"/>
      <x:c r="C81" s="223"/>
      <x:c r="D81" s="282"/>
      <x:c r="E81" s="282"/>
      <x:c r="F81" s="282"/>
      <x:c r="G81" s="282"/>
      <x:c r="H81" s="283"/>
      <x:c r="I81" s="223"/>
      <x:c r="J81" s="223"/>
      <x:c r="K81" s="223"/>
      <x:c r="L81" s="223"/>
      <x:c r="M81" s="223"/>
    </x:row>
    <x:row r="82">
      <x:c r="A82" s="223"/>
      <x:c r="B82" s="223"/>
      <x:c r="C82" s="223"/>
      <x:c r="D82" s="282"/>
      <x:c r="E82" s="282"/>
      <x:c r="F82" s="282"/>
      <x:c r="G82" s="282"/>
      <x:c r="H82" s="283"/>
      <x:c r="I82" s="223"/>
      <x:c r="J82" s="223"/>
      <x:c r="K82" s="223"/>
      <x:c r="L82" s="223"/>
      <x:c r="M82" s="223"/>
    </x:row>
    <x:row r="83">
      <x:c r="A83" s="223"/>
      <x:c r="B83" s="223"/>
      <x:c r="C83" s="223"/>
      <x:c r="D83" s="282"/>
      <x:c r="E83" s="282"/>
      <x:c r="F83" s="282"/>
      <x:c r="G83" s="282"/>
      <x:c r="H83" s="283"/>
      <x:c r="I83" s="223"/>
      <x:c r="J83" s="223"/>
      <x:c r="K83" s="223"/>
      <x:c r="L83" s="223"/>
      <x:c r="M83" s="223"/>
    </x:row>
    <x:row r="84">
      <x:c r="A84" s="223"/>
      <x:c r="B84" s="223"/>
      <x:c r="C84" s="223"/>
      <x:c r="D84" s="282"/>
      <x:c r="E84" s="282"/>
      <x:c r="F84" s="282"/>
      <x:c r="G84" s="282"/>
      <x:c r="H84" s="283"/>
      <x:c r="I84" s="223"/>
      <x:c r="J84" s="223"/>
      <x:c r="K84" s="223"/>
      <x:c r="L84" s="223"/>
      <x:c r="M84" s="223"/>
    </x:row>
    <x:row r="85">
      <x:c r="A85" s="223"/>
      <x:c r="B85" s="223"/>
      <x:c r="C85" s="223"/>
      <x:c r="D85" s="282"/>
      <x:c r="E85" s="282"/>
      <x:c r="F85" s="282"/>
      <x:c r="G85" s="282"/>
      <x:c r="H85" s="283"/>
      <x:c r="I85" s="223"/>
      <x:c r="J85" s="223"/>
      <x:c r="K85" s="223"/>
      <x:c r="L85" s="223"/>
      <x:c r="M85" s="223"/>
    </x:row>
    <x:row r="86">
      <x:c r="A86" s="223"/>
      <x:c r="B86" s="223"/>
      <x:c r="C86" s="223"/>
      <x:c r="D86" s="282"/>
      <x:c r="E86" s="282"/>
      <x:c r="F86" s="282"/>
      <x:c r="G86" s="282"/>
      <x:c r="H86" s="283"/>
      <x:c r="I86" s="223"/>
      <x:c r="J86" s="223"/>
      <x:c r="K86" s="223"/>
      <x:c r="L86" s="223"/>
      <x:c r="M86" s="223"/>
    </x:row>
    <x:row r="87">
      <x:c r="A87" s="223"/>
      <x:c r="B87" s="223"/>
      <x:c r="C87" s="223"/>
      <x:c r="D87" s="282"/>
      <x:c r="E87" s="282"/>
      <x:c r="F87" s="282"/>
      <x:c r="G87" s="282"/>
      <x:c r="H87" s="283"/>
      <x:c r="I87" s="223"/>
      <x:c r="J87" s="223"/>
      <x:c r="K87" s="223"/>
      <x:c r="L87" s="223"/>
      <x:c r="M87" s="223"/>
    </x:row>
    <x:row r="88">
      <x:c r="A88" s="223"/>
      <x:c r="B88" s="223"/>
      <x:c r="C88" s="223"/>
      <x:c r="D88" s="282"/>
      <x:c r="E88" s="282"/>
      <x:c r="F88" s="282"/>
      <x:c r="G88" s="282"/>
      <x:c r="H88" s="283"/>
      <x:c r="I88" s="223"/>
      <x:c r="J88" s="223"/>
      <x:c r="K88" s="223"/>
      <x:c r="L88" s="223"/>
      <x:c r="M88" s="223"/>
    </x:row>
    <x:row r="89">
      <x:c r="A89" s="223"/>
      <x:c r="B89" s="223"/>
      <x:c r="C89" s="223"/>
      <x:c r="D89" s="282"/>
      <x:c r="E89" s="282"/>
      <x:c r="F89" s="282"/>
      <x:c r="G89" s="282"/>
      <x:c r="H89" s="283"/>
      <x:c r="I89" s="223"/>
      <x:c r="J89" s="223"/>
      <x:c r="K89" s="223"/>
      <x:c r="L89" s="223"/>
      <x:c r="M89" s="223"/>
    </x:row>
    <x:row r="90">
      <x:c r="A90" s="223"/>
      <x:c r="B90" s="223"/>
      <x:c r="C90" s="223"/>
      <x:c r="D90" s="282"/>
      <x:c r="E90" s="282"/>
      <x:c r="F90" s="282"/>
      <x:c r="G90" s="282"/>
      <x:c r="H90" s="283"/>
      <x:c r="I90" s="223"/>
      <x:c r="J90" s="223"/>
      <x:c r="K90" s="223"/>
      <x:c r="L90" s="223"/>
      <x:c r="M90" s="223"/>
    </x:row>
    <x:row r="91">
      <x:c r="A91" s="223"/>
      <x:c r="B91" s="223"/>
      <x:c r="C91" s="223"/>
      <x:c r="D91" s="282"/>
      <x:c r="E91" s="282"/>
      <x:c r="F91" s="282"/>
      <x:c r="G91" s="282"/>
      <x:c r="H91" s="283"/>
      <x:c r="I91" s="223"/>
      <x:c r="J91" s="223"/>
      <x:c r="K91" s="223"/>
      <x:c r="L91" s="223"/>
      <x:c r="M91" s="223"/>
    </x:row>
    <x:row r="92">
      <x:c r="A92" s="223"/>
      <x:c r="B92" s="223"/>
      <x:c r="C92" s="223"/>
      <x:c r="D92" s="282"/>
      <x:c r="E92" s="282"/>
      <x:c r="F92" s="282"/>
      <x:c r="G92" s="282"/>
      <x:c r="H92" s="283"/>
      <x:c r="I92" s="223"/>
      <x:c r="J92" s="223"/>
      <x:c r="K92" s="223"/>
      <x:c r="L92" s="223"/>
      <x:c r="M92" s="223"/>
    </x:row>
    <x:row r="93">
      <x:c r="A93" s="223"/>
      <x:c r="B93" s="223"/>
      <x:c r="C93" s="223"/>
      <x:c r="D93" s="282"/>
      <x:c r="E93" s="282"/>
      <x:c r="F93" s="282"/>
      <x:c r="G93" s="282"/>
      <x:c r="H93" s="283"/>
      <x:c r="I93" s="223"/>
      <x:c r="J93" s="223"/>
      <x:c r="K93" s="223"/>
      <x:c r="L93" s="223"/>
      <x:c r="M93" s="223"/>
    </x:row>
    <x:row r="94">
      <x:c r="A94" s="223"/>
      <x:c r="B94" s="223"/>
      <x:c r="C94" s="223"/>
      <x:c r="D94" s="282"/>
      <x:c r="E94" s="282"/>
      <x:c r="F94" s="282"/>
      <x:c r="G94" s="282"/>
      <x:c r="H94" s="283"/>
      <x:c r="I94" s="223"/>
      <x:c r="J94" s="223"/>
      <x:c r="K94" s="223"/>
      <x:c r="L94" s="223"/>
      <x:c r="M94" s="223"/>
    </x:row>
    <x:row r="95">
      <x:c r="A95" s="223"/>
      <x:c r="B95" s="223"/>
      <x:c r="C95" s="223"/>
      <x:c r="D95" s="282"/>
      <x:c r="E95" s="282"/>
      <x:c r="F95" s="282"/>
      <x:c r="G95" s="282"/>
      <x:c r="H95" s="283"/>
      <x:c r="I95" s="223"/>
      <x:c r="J95" s="223"/>
      <x:c r="K95" s="223"/>
      <x:c r="L95" s="223"/>
      <x:c r="M95" s="223"/>
    </x:row>
    <x:row r="96">
      <x:c r="A96" s="223"/>
      <x:c r="B96" s="223"/>
      <x:c r="C96" s="223"/>
      <x:c r="D96" s="282"/>
      <x:c r="E96" s="282"/>
      <x:c r="F96" s="282"/>
      <x:c r="G96" s="282"/>
      <x:c r="H96" s="283"/>
      <x:c r="I96" s="223"/>
      <x:c r="J96" s="223"/>
      <x:c r="K96" s="223"/>
      <x:c r="L96" s="223"/>
      <x:c r="M96" s="223"/>
    </x:row>
    <x:row r="97">
      <x:c r="A97" s="223"/>
      <x:c r="B97" s="223"/>
      <x:c r="C97" s="223"/>
      <x:c r="D97" s="282"/>
      <x:c r="E97" s="282"/>
      <x:c r="F97" s="282"/>
      <x:c r="G97" s="282"/>
      <x:c r="H97" s="283"/>
      <x:c r="I97" s="223"/>
      <x:c r="J97" s="223"/>
      <x:c r="K97" s="223"/>
      <x:c r="L97" s="223"/>
      <x:c r="M97" s="223"/>
    </x:row>
    <x:row r="98">
      <x:c r="A98" s="223"/>
      <x:c r="B98" s="223"/>
      <x:c r="C98" s="223"/>
      <x:c r="D98" s="282"/>
      <x:c r="E98" s="282"/>
      <x:c r="F98" s="282"/>
      <x:c r="G98" s="282"/>
      <x:c r="H98" s="283"/>
      <x:c r="I98" s="223"/>
      <x:c r="J98" s="223"/>
      <x:c r="K98" s="223"/>
      <x:c r="L98" s="223"/>
      <x:c r="M98" s="223"/>
    </x:row>
    <x:row r="99">
      <x:c r="A99" s="223"/>
      <x:c r="B99" s="223"/>
      <x:c r="C99" s="223"/>
      <x:c r="D99" s="282"/>
      <x:c r="E99" s="282"/>
      <x:c r="F99" s="282"/>
      <x:c r="G99" s="282"/>
      <x:c r="H99" s="283"/>
      <x:c r="I99" s="223"/>
      <x:c r="J99" s="223"/>
      <x:c r="K99" s="223"/>
      <x:c r="L99" s="223"/>
      <x:c r="M99" s="223"/>
    </x:row>
    <x:row r="100">
      <x:c r="A100" s="223"/>
      <x:c r="B100" s="223"/>
      <x:c r="C100" s="223"/>
      <x:c r="D100" s="282"/>
      <x:c r="E100" s="282"/>
      <x:c r="F100" s="282"/>
      <x:c r="G100" s="282"/>
      <x:c r="H100" s="283"/>
      <x:c r="I100" s="223"/>
      <x:c r="J100" s="223"/>
      <x:c r="K100" s="223"/>
      <x:c r="L100" s="223"/>
      <x:c r="M100" s="223"/>
    </x:row>
    <x:row r="101">
      <x:c r="A101" s="223"/>
      <x:c r="B101" s="223"/>
      <x:c r="C101" s="223"/>
      <x:c r="D101" s="282"/>
      <x:c r="E101" s="282"/>
      <x:c r="F101" s="282"/>
      <x:c r="G101" s="282"/>
      <x:c r="H101" s="283"/>
      <x:c r="I101" s="223"/>
      <x:c r="J101" s="223"/>
      <x:c r="K101" s="223"/>
      <x:c r="L101" s="223"/>
      <x:c r="M101" s="223"/>
    </x:row>
    <x:row r="102">
      <x:c r="A102" s="223"/>
      <x:c r="B102" s="223"/>
      <x:c r="C102" s="223"/>
      <x:c r="D102" s="282"/>
      <x:c r="E102" s="282"/>
      <x:c r="F102" s="282"/>
      <x:c r="G102" s="282"/>
      <x:c r="H102" s="283"/>
      <x:c r="I102" s="223"/>
      <x:c r="J102" s="223"/>
      <x:c r="K102" s="223"/>
      <x:c r="L102" s="223"/>
      <x:c r="M102" s="223"/>
    </x:row>
    <x:row r="103">
      <x:c r="A103" s="223"/>
      <x:c r="B103" s="223"/>
      <x:c r="C103" s="223"/>
      <x:c r="D103" s="282"/>
      <x:c r="E103" s="282"/>
      <x:c r="F103" s="282"/>
      <x:c r="G103" s="282"/>
      <x:c r="H103" s="283"/>
      <x:c r="I103" s="223"/>
      <x:c r="J103" s="223"/>
      <x:c r="K103" s="223"/>
      <x:c r="L103" s="223"/>
      <x:c r="M103" s="223"/>
    </x:row>
    <x:row r="104">
      <x:c r="A104" s="223"/>
      <x:c r="B104" s="223"/>
      <x:c r="C104" s="223"/>
      <x:c r="D104" s="282"/>
      <x:c r="E104" s="282"/>
      <x:c r="F104" s="282"/>
      <x:c r="G104" s="282"/>
      <x:c r="H104" s="283"/>
      <x:c r="I104" s="223"/>
      <x:c r="J104" s="223"/>
      <x:c r="K104" s="223"/>
      <x:c r="L104" s="223"/>
      <x:c r="M104" s="223"/>
    </x:row>
    <x:row r="105">
      <x:c r="A105" s="223"/>
      <x:c r="B105" s="223"/>
      <x:c r="C105" s="223"/>
      <x:c r="D105" s="282"/>
      <x:c r="E105" s="282"/>
      <x:c r="F105" s="282"/>
      <x:c r="G105" s="282"/>
      <x:c r="H105" s="283"/>
      <x:c r="I105" s="223"/>
      <x:c r="J105" s="223"/>
      <x:c r="K105" s="223"/>
      <x:c r="L105" s="223"/>
      <x:c r="M105" s="223"/>
    </x:row>
    <x:row r="106">
      <x:c r="A106" s="223"/>
      <x:c r="B106" s="223"/>
      <x:c r="C106" s="223"/>
      <x:c r="D106" s="282"/>
      <x:c r="E106" s="282"/>
      <x:c r="F106" s="282"/>
      <x:c r="G106" s="282"/>
      <x:c r="H106" s="283"/>
      <x:c r="I106" s="223"/>
      <x:c r="J106" s="223"/>
      <x:c r="K106" s="223"/>
      <x:c r="L106" s="223"/>
      <x:c r="M106" s="223"/>
    </x:row>
    <x:row r="107">
      <x:c r="A107" s="223"/>
      <x:c r="B107" s="223"/>
      <x:c r="C107" s="223"/>
      <x:c r="D107" s="282"/>
      <x:c r="E107" s="282"/>
      <x:c r="F107" s="282"/>
      <x:c r="G107" s="282"/>
      <x:c r="H107" s="283"/>
      <x:c r="I107" s="223"/>
      <x:c r="J107" s="223"/>
      <x:c r="K107" s="223"/>
      <x:c r="L107" s="223"/>
      <x:c r="M107" s="223"/>
    </x:row>
    <x:row r="108">
      <x:c r="A108" s="223"/>
      <x:c r="B108" s="223"/>
      <x:c r="C108" s="223"/>
      <x:c r="D108" s="282"/>
      <x:c r="E108" s="282"/>
      <x:c r="F108" s="282"/>
      <x:c r="G108" s="282"/>
      <x:c r="H108" s="283"/>
      <x:c r="I108" s="223"/>
      <x:c r="J108" s="223"/>
      <x:c r="K108" s="223"/>
      <x:c r="L108" s="223"/>
      <x:c r="M108" s="223"/>
    </x:row>
    <x:row r="109">
      <x:c r="A109" s="223"/>
      <x:c r="B109" s="223"/>
      <x:c r="C109" s="223"/>
      <x:c r="D109" s="282"/>
      <x:c r="E109" s="282"/>
      <x:c r="F109" s="282"/>
      <x:c r="G109" s="282"/>
      <x:c r="H109" s="283"/>
      <x:c r="I109" s="223"/>
      <x:c r="J109" s="223"/>
      <x:c r="K109" s="223"/>
      <x:c r="L109" s="223"/>
      <x:c r="M109" s="223"/>
    </x:row>
    <x:row r="110">
      <x:c r="A110" s="223"/>
      <x:c r="B110" s="223"/>
      <x:c r="C110" s="223"/>
      <x:c r="D110" s="282"/>
      <x:c r="E110" s="282"/>
      <x:c r="F110" s="282"/>
      <x:c r="G110" s="282"/>
      <x:c r="H110" s="283"/>
      <x:c r="I110" s="223"/>
      <x:c r="J110" s="223"/>
      <x:c r="K110" s="223"/>
      <x:c r="L110" s="223"/>
      <x:c r="M110" s="223"/>
    </x:row>
    <x:row r="111">
      <x:c r="A111" s="223"/>
      <x:c r="B111" s="223"/>
      <x:c r="C111" s="223"/>
      <x:c r="D111" s="282"/>
      <x:c r="E111" s="282"/>
      <x:c r="F111" s="282"/>
      <x:c r="G111" s="282"/>
      <x:c r="H111" s="283"/>
      <x:c r="I111" s="223"/>
      <x:c r="J111" s="223"/>
      <x:c r="K111" s="223"/>
      <x:c r="L111" s="223"/>
      <x:c r="M111" s="223"/>
    </x:row>
    <x:row r="112">
      <x:c r="A112" s="223"/>
      <x:c r="B112" s="223"/>
      <x:c r="C112" s="223"/>
      <x:c r="D112" s="282"/>
      <x:c r="E112" s="282"/>
      <x:c r="F112" s="282"/>
      <x:c r="G112" s="282"/>
      <x:c r="H112" s="283"/>
      <x:c r="I112" s="223"/>
      <x:c r="J112" s="223"/>
      <x:c r="K112" s="223"/>
      <x:c r="L112" s="223"/>
      <x:c r="M112" s="223"/>
    </x:row>
    <x:row r="113">
      <x:c r="A113" s="223"/>
      <x:c r="B113" s="223"/>
      <x:c r="C113" s="223"/>
      <x:c r="D113" s="282"/>
      <x:c r="E113" s="282"/>
      <x:c r="F113" s="282"/>
      <x:c r="G113" s="282"/>
      <x:c r="H113" s="283"/>
      <x:c r="I113" s="223"/>
      <x:c r="J113" s="223"/>
      <x:c r="K113" s="223"/>
      <x:c r="L113" s="223"/>
      <x:c r="M113" s="223"/>
    </x:row>
    <x:row r="114">
      <x:c r="A114" s="223"/>
      <x:c r="B114" s="223"/>
      <x:c r="C114" s="223"/>
      <x:c r="D114" s="282"/>
      <x:c r="E114" s="282"/>
      <x:c r="F114" s="282"/>
      <x:c r="G114" s="282"/>
      <x:c r="H114" s="283"/>
      <x:c r="I114" s="223"/>
      <x:c r="J114" s="223"/>
      <x:c r="K114" s="223"/>
      <x:c r="L114" s="223"/>
      <x:c r="M114" s="223"/>
    </x:row>
    <x:row r="115">
      <x:c r="A115" s="223"/>
      <x:c r="B115" s="223"/>
      <x:c r="C115" s="223"/>
      <x:c r="D115" s="282"/>
      <x:c r="E115" s="282"/>
      <x:c r="F115" s="282"/>
      <x:c r="G115" s="282"/>
      <x:c r="H115" s="283"/>
      <x:c r="I115" s="223"/>
      <x:c r="J115" s="223"/>
      <x:c r="K115" s="223"/>
      <x:c r="L115" s="223"/>
      <x:c r="M115" s="223"/>
    </x:row>
    <x:row r="116">
      <x:c r="A116" s="223"/>
      <x:c r="B116" s="223"/>
      <x:c r="C116" s="223"/>
      <x:c r="D116" s="282"/>
      <x:c r="E116" s="282"/>
      <x:c r="F116" s="282"/>
      <x:c r="G116" s="282"/>
      <x:c r="H116" s="283"/>
      <x:c r="I116" s="223"/>
      <x:c r="J116" s="223"/>
      <x:c r="K116" s="223"/>
      <x:c r="L116" s="223"/>
      <x:c r="M116" s="223"/>
    </x:row>
    <x:row r="117">
      <x:c r="A117" s="223"/>
      <x:c r="B117" s="223"/>
      <x:c r="C117" s="223"/>
      <x:c r="D117" s="282"/>
      <x:c r="E117" s="282"/>
      <x:c r="F117" s="282"/>
      <x:c r="G117" s="282"/>
      <x:c r="H117" s="283"/>
      <x:c r="I117" s="223"/>
      <x:c r="J117" s="223"/>
      <x:c r="K117" s="223"/>
      <x:c r="L117" s="223"/>
      <x:c r="M117" s="223"/>
    </x:row>
    <x:row r="118">
      <x:c r="A118" s="223"/>
      <x:c r="B118" s="223"/>
      <x:c r="C118" s="223"/>
      <x:c r="D118" s="282"/>
      <x:c r="E118" s="282"/>
      <x:c r="F118" s="282"/>
      <x:c r="G118" s="282"/>
      <x:c r="H118" s="283"/>
      <x:c r="I118" s="223"/>
      <x:c r="J118" s="223"/>
      <x:c r="K118" s="223"/>
      <x:c r="L118" s="223"/>
      <x:c r="M118" s="223"/>
    </x:row>
    <x:row r="119">
      <x:c r="A119" s="223"/>
      <x:c r="B119" s="223"/>
      <x:c r="C119" s="223"/>
      <x:c r="D119" s="282"/>
      <x:c r="E119" s="282"/>
      <x:c r="F119" s="282"/>
      <x:c r="G119" s="282"/>
      <x:c r="H119" s="283"/>
      <x:c r="I119" s="223"/>
      <x:c r="J119" s="223"/>
      <x:c r="K119" s="223"/>
      <x:c r="L119" s="223"/>
      <x:c r="M119" s="223"/>
    </x:row>
    <x:row r="120">
      <x:c r="A120" s="223"/>
      <x:c r="B120" s="223"/>
      <x:c r="C120" s="223"/>
      <x:c r="D120" s="282"/>
      <x:c r="E120" s="282"/>
      <x:c r="F120" s="282"/>
      <x:c r="G120" s="282"/>
      <x:c r="H120" s="283"/>
      <x:c r="I120" s="223"/>
      <x:c r="J120" s="223"/>
      <x:c r="K120" s="223"/>
      <x:c r="L120" s="223"/>
      <x:c r="M120" s="223"/>
    </x:row>
    <x:row r="121">
      <x:c r="A121" s="223"/>
      <x:c r="B121" s="223"/>
      <x:c r="C121" s="223"/>
      <x:c r="D121" s="282"/>
      <x:c r="E121" s="282"/>
      <x:c r="F121" s="282"/>
      <x:c r="G121" s="282"/>
      <x:c r="H121" s="283"/>
      <x:c r="I121" s="223"/>
      <x:c r="J121" s="223"/>
      <x:c r="K121" s="223"/>
      <x:c r="L121" s="223"/>
      <x:c r="M121" s="223"/>
    </x:row>
    <x:row r="122">
      <x:c r="A122" s="223"/>
      <x:c r="B122" s="223"/>
      <x:c r="C122" s="223"/>
      <x:c r="D122" s="282"/>
      <x:c r="E122" s="282"/>
      <x:c r="F122" s="282"/>
      <x:c r="G122" s="282"/>
      <x:c r="H122" s="283"/>
      <x:c r="I122" s="223"/>
      <x:c r="J122" s="223"/>
      <x:c r="K122" s="223"/>
      <x:c r="L122" s="223"/>
      <x:c r="M122" s="223"/>
    </x:row>
    <x:row r="123">
      <x:c r="A123" s="223"/>
      <x:c r="B123" s="223"/>
      <x:c r="C123" s="223"/>
      <x:c r="D123" s="282"/>
      <x:c r="E123" s="282"/>
      <x:c r="F123" s="282"/>
      <x:c r="G123" s="282"/>
      <x:c r="H123" s="283"/>
      <x:c r="I123" s="223"/>
      <x:c r="J123" s="223"/>
      <x:c r="K123" s="223"/>
      <x:c r="L123" s="223"/>
      <x:c r="M123" s="223"/>
    </x:row>
    <x:row r="124">
      <x:c r="A124" s="223"/>
      <x:c r="B124" s="223"/>
      <x:c r="C124" s="223"/>
      <x:c r="D124" s="282"/>
      <x:c r="E124" s="282"/>
      <x:c r="F124" s="282"/>
      <x:c r="G124" s="282"/>
      <x:c r="H124" s="283"/>
      <x:c r="I124" s="223"/>
      <x:c r="J124" s="223"/>
      <x:c r="K124" s="223"/>
      <x:c r="L124" s="223"/>
      <x:c r="M124" s="223"/>
    </x:row>
  </x:sheetData>
  <x:mergeCells>
    <x:mergeCell ref="A1:M1"/>
    <x:mergeCell ref="A2:H2"/>
  </x:mergeCells>
  <x:dataValidations count="3">
    <x:dataValidation type="list" sqref="C5:C124">
      <x:formula1>"eBay,ALT,Card Hobby,Fanatics Collect,PokerColor"</x:formula1>
    </x:dataValidation>
    <x:dataValidation type="list" sqref="I5:I124">
      <x:formula1>"实时,样例,人工复核,待接入,无数据,报错"</x:formula1>
    </x:dataValidation>
    <x:dataValidation type="list" sqref="J5:J124">
      <x:formula1>"API,API-ready,链接监控,手动,CSV导入"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c9d79d32cb4c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36" hidden="0" customWidth="1"/>
    <x:col min="5" max="5" width="10" hidden="0" customWidth="1"/>
    <x:col min="6" max="6" width="10" hidden="0" customWidth="1"/>
    <x:col min="7" max="7" width="12" hidden="0" customWidth="1"/>
    <x:col min="8" max="8" width="48" hidden="0" customWidth="1"/>
    <x:col min="9" max="9" width="28" hidden="0" customWidth="1"/>
    <x:col min="10" max="10" width="30" hidden="0" customWidth="1"/>
    <x:col min="11" max="11" width="42" hidden="0" customWidth="1"/>
  </x:cols>
  <x:sheetData>
    <x:row r="1" ht="34" customHeight="1">
      <x:c r="A1" s="221" t="str">
        <x:v>实时设置</x:v>
      </x:c>
      <x:c r="B1" s="221" t="str">
        <x:v>实时设置</x:v>
      </x:c>
      <x:c r="C1" s="221" t="str">
        <x:v>实时设置</x:v>
      </x:c>
      <x:c r="D1" s="221" t="str">
        <x:v>实时设置</x:v>
      </x:c>
      <x:c r="E1" s="221" t="str">
        <x:v>实时设置</x:v>
      </x:c>
      <x:c r="F1" s="221" t="str">
        <x:v>实时设置</x:v>
      </x:c>
      <x:c r="G1" s="221" t="str">
        <x:v>实时设置</x:v>
      </x:c>
      <x:c r="H1" s="221" t="str">
        <x:v>实时设置</x:v>
      </x:c>
      <x:c r="I1" s="221" t="str">
        <x:v>实时设置</x:v>
      </x:c>
      <x:c r="J1" s="221" t="str">
        <x:v>实时设置</x:v>
      </x:c>
      <x:c r="K1" s="221" t="str">
        <x:v>实时设置</x:v>
      </x:c>
    </x:row>
    <x:row r="2" ht="30" customHeight="1">
      <x:c r="A2" s="222" t="str">
        <x:v>配置每个平台的实时接入方式。eBay 可用官方 API 刷新；其他平台先保留链接/状态，拿到可用 API 或登录方案后接入。</x:v>
      </x:c>
      <x:c r="B2" s="222" t="str">
        <x:v>配置每个平台的实时接入方式。eBay 可用官方 API 刷新；其他平台先保留链接/状态，拿到可用 API 或登录方案后接入。</x:v>
      </x:c>
      <x:c r="C2" s="222" t="str">
        <x:v>配置每个平台的实时接入方式。eBay 可用官方 API 刷新；其他平台先保留链接/状态，拿到可用 API 或登录方案后接入。</x:v>
      </x:c>
      <x:c r="D2" s="222" t="str">
        <x:v>配置每个平台的实时接入方式。eBay 可用官方 API 刷新；其他平台先保留链接/状态，拿到可用 API 或登录方案后接入。</x:v>
      </x:c>
      <x:c r="E2" s="222" t="str">
        <x:v>配置每个平台的实时接入方式。eBay 可用官方 API 刷新；其他平台先保留链接/状态，拿到可用 API 或登录方案后接入。</x:v>
      </x:c>
      <x:c r="F2" s="222" t="str">
        <x:v>配置每个平台的实时接入方式。eBay 可用官方 API 刷新；其他平台先保留链接/状态，拿到可用 API 或登录方案后接入。</x:v>
      </x:c>
      <x:c r="G2" s="222" t="str">
        <x:v>配置每个平台的实时接入方式。eBay 可用官方 API 刷新；其他平台先保留链接/状态，拿到可用 API 或登录方案后接入。</x:v>
      </x:c>
      <x:c r="H2" s="222" t="str">
        <x:v>配置每个平台的实时接入方式。eBay 可用官方 API 刷新；其他平台先保留链接/状态，拿到可用 API 或登录方案后接入。</x:v>
      </x:c>
      <x:c r="I2" s="223"/>
      <x:c r="J2" s="223"/>
      <x:c r="K2" s="223"/>
    </x:row>
    <x:row r="3">
      <x:c r="A3" s="223"/>
      <x:c r="B3" s="223"/>
      <x:c r="C3" s="223"/>
      <x:c r="D3" s="223"/>
      <x:c r="E3" s="223"/>
      <x:c r="F3" s="223"/>
      <x:c r="G3" s="223"/>
      <x:c r="H3" s="223"/>
      <x:c r="I3" s="223"/>
      <x:c r="J3" s="223"/>
      <x:c r="K3" s="223"/>
    </x:row>
    <x:row r="4">
      <x:c r="A4" s="284" t="str">
        <x:v>平台</x:v>
      </x:c>
      <x:c r="B4" s="285" t="str">
        <x:v>实时模式</x:v>
      </x:c>
      <x:c r="C4" s="285" t="str">
        <x:v>刷新频率</x:v>
      </x:c>
      <x:c r="D4" s="285" t="str">
        <x:v>凭证来源</x:v>
      </x:c>
      <x:c r="E4" s="285" t="str">
        <x:v>支持买价</x:v>
      </x:c>
      <x:c r="F4" s="285" t="str">
        <x:v>支持卖价</x:v>
      </x:c>
      <x:c r="G4" s="285" t="str">
        <x:v>状态</x:v>
      </x:c>
      <x:c r="H4" s="285" t="str">
        <x:v>官方/入口URL</x:v>
      </x:c>
      <x:c r="I4" s="285" t="str">
        <x:v>本地刷新脚本</x:v>
      </x:c>
      <x:c r="J4" s="285" t="str">
        <x:v>限制</x:v>
      </x:c>
      <x:c r="K4" s="286" t="str">
        <x:v>备注</x:v>
      </x:c>
    </x:row>
    <x:row r="5">
      <x:c r="A5" s="223" t="str">
        <x:v>eBay</x:v>
      </x:c>
      <x:c r="B5" s="223" t="str">
        <x:v>API</x:v>
      </x:c>
      <x:c r="C5" s="223" t="str">
        <x:v>手动/定时</x:v>
      </x:c>
      <x:c r="D5" s="223" t="str">
        <x:v>环境变量 EBAY_CLIENT_ID / EBAY_CLIENT_SECRET</x:v>
      </x:c>
      <x:c r="E5" s="287" t="b">
        <x:v>1</x:v>
      </x:c>
      <x:c r="F5" s="287" t="b">
        <x:v>1</x:v>
      </x:c>
      <x:c r="G5" s="223" t="str">
        <x:v>可接入</x:v>
      </x:c>
      <x:c r="H5" s="223" t="str">
        <x:v>https://developer.ebay.com/api-docs/buy/browse/resources/item_summary/methods/search</x:v>
      </x:c>
      <x:c r="I5" s="223" t="str">
        <x:v>scripts/refresh_live_prices.mjs</x:v>
      </x:c>
      <x:c r="J5" s="223" t="str">
        <x:v>Browse API 反映当前挂牌，不等同 sold comps</x:v>
      </x:c>
      <x:c r="K5" s="223" t="str">
        <x:v>可先用最低挂牌做买价，分位数挂牌做卖价参考</x:v>
      </x:c>
    </x:row>
    <x:row r="6">
      <x:c r="A6" s="223" t="str">
        <x:v>ALT</x:v>
      </x:c>
      <x:c r="B6" s="223" t="str">
        <x:v>链接监控</x:v>
      </x:c>
      <x:c r="C6" s="223" t="str">
        <x:v>手动</x:v>
      </x:c>
      <x:c r="D6" s="223" t="str">
        <x:v>登录态/API待确认</x:v>
      </x:c>
      <x:c r="E6" s="287" t="b">
        <x:v>1</x:v>
      </x:c>
      <x:c r="F6" s="287" t="b">
        <x:v>1</x:v>
      </x:c>
      <x:c r="G6" s="223" t="str">
        <x:v>待接入</x:v>
      </x:c>
      <x:c r="H6" s="223" t="str">
        <x:v>https://www.alt.xyz</x:v>
      </x:c>
      <x:c r="I6" s="223" t="str">
        <x:v>待接入</x:v>
      </x:c>
      <x:c r="J6" s="223" t="str">
        <x:v>公开 API 不明确</x:v>
      </x:c>
      <x:c r="K6" s="223" t="str">
        <x:v>先在实时行情维护搜索链接和手动刷新状态</x:v>
      </x:c>
    </x:row>
    <x:row r="7">
      <x:c r="A7" s="223" t="str">
        <x:v>Card Hobby</x:v>
      </x:c>
      <x:c r="B7" s="223" t="str">
        <x:v>链接监控</x:v>
      </x:c>
      <x:c r="C7" s="223" t="str">
        <x:v>手动</x:v>
      </x:c>
      <x:c r="D7" s="223" t="str">
        <x:v>登录态/API待确认</x:v>
      </x:c>
      <x:c r="E7" s="287" t="b">
        <x:v>1</x:v>
      </x:c>
      <x:c r="F7" s="287" t="b">
        <x:v>1</x:v>
      </x:c>
      <x:c r="G7" s="223" t="str">
        <x:v>待接入</x:v>
      </x:c>
      <x:c r="H7" s="223" t="str">
        <x:v>https://www.cardhobby.com</x:v>
      </x:c>
      <x:c r="I7" s="223" t="str">
        <x:v>待接入</x:v>
      </x:c>
      <x:c r="J7" s="223" t="str">
        <x:v>公开 API 不明确</x:v>
      </x:c>
      <x:c r="K7" s="223" t="str">
        <x:v>拍卖成交/保证金规则需按账号确认</x:v>
      </x:c>
    </x:row>
    <x:row r="8">
      <x:c r="A8" s="223" t="str">
        <x:v>Fanatics Collect</x:v>
      </x:c>
      <x:c r="B8" s="223" t="str">
        <x:v>链接监控</x:v>
      </x:c>
      <x:c r="C8" s="223" t="str">
        <x:v>手动</x:v>
      </x:c>
      <x:c r="D8" s="223" t="str">
        <x:v>登录态/API待确认</x:v>
      </x:c>
      <x:c r="E8" s="287" t="b">
        <x:v>1</x:v>
      </x:c>
      <x:c r="F8" s="287" t="b">
        <x:v>1</x:v>
      </x:c>
      <x:c r="G8" s="223" t="str">
        <x:v>待接入</x:v>
      </x:c>
      <x:c r="H8" s="223" t="str">
        <x:v>https://www.fanaticscollect.com</x:v>
      </x:c>
      <x:c r="I8" s="223" t="str">
        <x:v>待接入</x:v>
      </x:c>
      <x:c r="J8" s="223" t="str">
        <x:v>公开 API 不明确</x:v>
      </x:c>
      <x:c r="K8" s="223" t="str">
        <x:v>挂牌和成交口径需分开</x:v>
      </x:c>
    </x:row>
    <x:row r="9">
      <x:c r="A9" s="223" t="str">
        <x:v>PokerColor</x:v>
      </x:c>
      <x:c r="B9" s="223" t="str">
        <x:v>链接监控</x:v>
      </x:c>
      <x:c r="C9" s="223" t="str">
        <x:v>手动</x:v>
      </x:c>
      <x:c r="D9" s="223" t="str">
        <x:v>登录态/API待确认</x:v>
      </x:c>
      <x:c r="E9" s="287" t="b">
        <x:v>1</x:v>
      </x:c>
      <x:c r="F9" s="287" t="b">
        <x:v>1</x:v>
      </x:c>
      <x:c r="G9" s="223" t="str">
        <x:v>待接入</x:v>
      </x:c>
      <x:c r="H9" s="223" t="str">
        <x:v>https://www.pokercolor.com</x:v>
      </x:c>
      <x:c r="I9" s="223" t="str">
        <x:v>待接入</x:v>
      </x:c>
      <x:c r="J9" s="223" t="str">
        <x:v>公开 API 不明确</x:v>
      </x:c>
      <x:c r="K9" s="223" t="str">
        <x:v>先用于链接监控和人工复核</x:v>
      </x:c>
    </x:row>
    <x:row r="10">
      <x:c r="A10" s="223"/>
      <x:c r="B10" s="223"/>
      <x:c r="C10" s="223"/>
      <x:c r="D10" s="223"/>
      <x:c r="E10" s="223"/>
      <x:c r="F10" s="223"/>
      <x:c r="G10" s="223"/>
      <x:c r="H10" s="223"/>
      <x:c r="I10" s="223"/>
      <x:c r="J10" s="223"/>
      <x:c r="K10" s="223"/>
    </x:row>
    <x:row r="11">
      <x:c r="A11" s="288" t="str">
        <x:v>刷新流程</x:v>
      </x:c>
      <x:c r="B11" s="288"/>
      <x:c r="C11" s="288"/>
      <x:c r="D11" s="288"/>
      <x:c r="E11" s="288"/>
      <x:c r="F11" s="288"/>
      <x:c r="G11" s="288"/>
      <x:c r="H11" s="288"/>
      <x:c r="I11" s="288"/>
      <x:c r="J11" s="288"/>
      <x:c r="K11" s="288"/>
    </x:row>
    <x:row r="12">
      <x:c r="A12" s="288" t="str">
        <x:v>1. 在“实时行情”表维护每张卡每个平台的搜索词和源链接。</x:v>
      </x:c>
      <x:c r="B12" s="288"/>
      <x:c r="C12" s="288"/>
      <x:c r="D12" s="288"/>
      <x:c r="E12" s="288"/>
      <x:c r="F12" s="288"/>
      <x:c r="G12" s="288"/>
      <x:c r="H12" s="288"/>
      <x:c r="I12" s="288"/>
      <x:c r="J12" s="288"/>
      <x:c r="K12" s="288"/>
    </x:row>
    <x:row r="13">
      <x:c r="A13" s="288" t="str">
        <x:v>2. 有 eBay API 凭证时运行 scripts/refresh_live_prices.mjs 生成 live_market_quotes.csv。</x:v>
      </x:c>
      <x:c r="B13" s="288"/>
      <x:c r="C13" s="288"/>
      <x:c r="D13" s="288"/>
      <x:c r="E13" s="288"/>
      <x:c r="F13" s="288"/>
      <x:c r="G13" s="288"/>
      <x:c r="H13" s="288"/>
      <x:c r="I13" s="288"/>
      <x:c r="J13" s="288"/>
      <x:c r="K13" s="288"/>
    </x:row>
    <x:row r="14">
      <x:c r="A14" s="288" t="str">
        <x:v>3. 重新运行 scripts/build_ptcg_psa10_tracker.mjs，工作簿会把 live_market_quotes.json 写入“实时行情”。</x:v>
      </x:c>
      <x:c r="B14" s="288"/>
      <x:c r="C14" s="288"/>
      <x:c r="D14" s="288"/>
      <x:c r="E14" s="288"/>
      <x:c r="F14" s="288"/>
      <x:c r="G14" s="288"/>
      <x:c r="H14" s="288"/>
      <x:c r="I14" s="288"/>
      <x:c r="J14" s="288"/>
      <x:c r="K14" s="288"/>
    </x:row>
    <x:row r="15">
      <x:c r="A15" s="288" t="str">
        <x:v>4. ALT、Card Hobby、Fanatics Collect、PokerColor 在未确认 API 前不做自动抓取，避免账号风控和错误价格。</x:v>
      </x:c>
      <x:c r="B15" s="288"/>
      <x:c r="C15" s="288"/>
      <x:c r="D15" s="288"/>
      <x:c r="E15" s="288"/>
      <x:c r="F15" s="288"/>
      <x:c r="G15" s="288"/>
      <x:c r="H15" s="288"/>
      <x:c r="I15" s="288"/>
      <x:c r="J15" s="288"/>
      <x:c r="K15" s="288"/>
    </x:row>
    <x:row r="16">
      <x:c r="A16" s="288" t="str">
        <x:v>5. 实时数据用于发现机会，成交前仍需人工核验证书、运费、税费和平台规则。</x:v>
      </x:c>
      <x:c r="B16" s="288"/>
      <x:c r="C16" s="288"/>
      <x:c r="D16" s="288"/>
      <x:c r="E16" s="288"/>
      <x:c r="F16" s="288"/>
      <x:c r="G16" s="288"/>
      <x:c r="H16" s="288"/>
      <x:c r="I16" s="288"/>
      <x:c r="J16" s="288"/>
      <x:c r="K16" s="288"/>
    </x:row>
  </x:sheetData>
  <x:mergeCells>
    <x:mergeCell ref="A1:K1"/>
    <x:mergeCell ref="A2:H2"/>
    <x:mergeCell ref="A11:K11"/>
    <x:mergeCell ref="A12:K12"/>
    <x:mergeCell ref="A13:K13"/>
    <x:mergeCell ref="A14:K14"/>
    <x:mergeCell ref="A15:K15"/>
    <x:mergeCell ref="A16:K16"/>
  </x:mergeCells>
  <x:pageMargins left="0.7" right="0.7" top="0.75" bottom="0.75" header="0.3" footer="0.3"/>
  <x:tableParts count="1">
    <x:tablePart xmlns:r="http://schemas.openxmlformats.org/officeDocument/2006/relationships" r:id="R55e5660caece41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10" hidden="0" customWidth="1"/>
    <x:col min="5" max="5" width="16" hidden="0" customWidth="1"/>
    <x:col min="6" max="6" width="12" hidden="0" customWidth="1"/>
    <x:col min="7" max="7" width="16" hidden="0" customWidth="1"/>
    <x:col min="8" max="8" width="12" hidden="0" customWidth="1"/>
    <x:col min="9" max="9" width="11" hidden="0" customWidth="1"/>
    <x:col min="10" max="10" width="11" hidden="0" customWidth="1"/>
    <x:col min="11" max="11" width="12" hidden="0" customWidth="1"/>
    <x:col min="12" max="12" width="12" hidden="0" customWidth="1"/>
    <x:col min="13" max="13" width="12" hidden="0" customWidth="1"/>
    <x:col min="14" max="14" width="16" hidden="0" customWidth="1"/>
    <x:col min="15" max="15" width="12" hidden="0" customWidth="1"/>
    <x:col min="16" max="16" width="11" hidden="0" customWidth="1"/>
    <x:col min="17" max="17" width="11" hidden="0" customWidth="1"/>
    <x:col min="18" max="18" width="11" hidden="0" customWidth="1"/>
    <x:col min="19" max="19" width="12" hidden="0" customWidth="1"/>
    <x:col min="20" max="20" width="12" hidden="0" customWidth="1"/>
    <x:col min="21" max="21" width="10" hidden="0" customWidth="1"/>
    <x:col min="22" max="22" width="10" hidden="0" customWidth="1"/>
    <x:col min="23" max="23" width="12" hidden="0" customWidth="1"/>
    <x:col min="24" max="24" width="18" hidden="0" customWidth="1"/>
    <x:col min="25" max="25" width="24" hidden="0" customWidth="1"/>
    <x:col min="26" max="26" width="28" hidden="0" customWidth="1"/>
  </x:cols>
  <x:sheetData>
    <x:row r="1" ht="34" customHeight="1">
      <x:c r="A1" s="221" t="str">
        <x:v>PTCG PSA10 交易台账</x:v>
      </x:c>
      <x:c r="B1" s="221" t="str">
        <x:v>PTCG PSA10 交易台账</x:v>
      </x:c>
      <x:c r="C1" s="221" t="str">
        <x:v>PTCG PSA10 交易台账</x:v>
      </x:c>
      <x:c r="D1" s="221" t="str">
        <x:v>PTCG PSA10 交易台账</x:v>
      </x:c>
      <x:c r="E1" s="221" t="str">
        <x:v>PTCG PSA10 交易台账</x:v>
      </x:c>
      <x:c r="F1" s="221" t="str">
        <x:v>PTCG PSA10 交易台账</x:v>
      </x:c>
      <x:c r="G1" s="221" t="str">
        <x:v>PTCG PSA10 交易台账</x:v>
      </x:c>
      <x:c r="H1" s="221" t="str">
        <x:v>PTCG PSA10 交易台账</x:v>
      </x:c>
      <x:c r="I1" s="221" t="str">
        <x:v>PTCG PSA10 交易台账</x:v>
      </x:c>
      <x:c r="J1" s="221" t="str">
        <x:v>PTCG PSA10 交易台账</x:v>
      </x:c>
      <x:c r="K1" s="221" t="str">
        <x:v>PTCG PSA10 交易台账</x:v>
      </x:c>
      <x:c r="L1" s="221" t="str">
        <x:v>PTCG PSA10 交易台账</x:v>
      </x:c>
      <x:c r="M1" s="221" t="str">
        <x:v>PTCG PSA10 交易台账</x:v>
      </x:c>
      <x:c r="N1" s="221" t="str">
        <x:v>PTCG PSA10 交易台账</x:v>
      </x:c>
      <x:c r="O1" s="221" t="str">
        <x:v>PTCG PSA10 交易台账</x:v>
      </x:c>
      <x:c r="P1" s="221" t="str">
        <x:v>PTCG PSA10 交易台账</x:v>
      </x:c>
      <x:c r="Q1" s="221" t="str">
        <x:v>PTCG PSA10 交易台账</x:v>
      </x:c>
      <x:c r="R1" s="221" t="str">
        <x:v>PTCG PSA10 交易台账</x:v>
      </x:c>
      <x:c r="S1" s="221" t="str">
        <x:v>PTCG PSA10 交易台账</x:v>
      </x:c>
      <x:c r="T1" s="221" t="str">
        <x:v>PTCG PSA10 交易台账</x:v>
      </x:c>
      <x:c r="U1" s="221" t="str">
        <x:v>PTCG PSA10 交易台账</x:v>
      </x:c>
      <x:c r="V1" s="221" t="str">
        <x:v>PTCG PSA10 交易台账</x:v>
      </x:c>
      <x:c r="W1" s="221" t="str">
        <x:v>PTCG PSA10 交易台账</x:v>
      </x:c>
      <x:c r="X1" s="221" t="str">
        <x:v>PTCG PSA10 交易台账</x:v>
      </x:c>
      <x:c r="Y1" s="221" t="str">
        <x:v>PTCG PSA10 交易台账</x:v>
      </x:c>
      <x:c r="Z1" s="221" t="str">
        <x:v>PTCG PSA10 交易台账</x:v>
      </x:c>
    </x:row>
    <x:row r="2" ht="30" customHeight="1">
      <x:c r="A2" s="222" t="str">
        <x:v>记录真实购入、上架和售出数据；可追踪库存、实际利润、ROI、持仓天数和现金回收。</x:v>
      </x:c>
      <x:c r="B2" s="222" t="str">
        <x:v>记录真实购入、上架和售出数据；可追踪库存、实际利润、ROI、持仓天数和现金回收。</x:v>
      </x:c>
      <x:c r="C2" s="222" t="str">
        <x:v>记录真实购入、上架和售出数据；可追踪库存、实际利润、ROI、持仓天数和现金回收。</x:v>
      </x:c>
      <x:c r="D2" s="222" t="str">
        <x:v>记录真实购入、上架和售出数据；可追踪库存、实际利润、ROI、持仓天数和现金回收。</x:v>
      </x:c>
      <x:c r="E2" s="222" t="str">
        <x:v>记录真实购入、上架和售出数据；可追踪库存、实际利润、ROI、持仓天数和现金回收。</x:v>
      </x:c>
      <x:c r="F2" s="222" t="str">
        <x:v>记录真实购入、上架和售出数据；可追踪库存、实际利润、ROI、持仓天数和现金回收。</x:v>
      </x:c>
      <x:c r="G2" s="222" t="str">
        <x:v>记录真实购入、上架和售出数据；可追踪库存、实际利润、ROI、持仓天数和现金回收。</x:v>
      </x:c>
      <x:c r="H2" s="222" t="str">
        <x:v>记录真实购入、上架和售出数据；可追踪库存、实际利润、ROI、持仓天数和现金回收。</x:v>
      </x:c>
      <x:c r="I2" s="223"/>
      <x:c r="J2" s="223"/>
      <x:c r="K2" s="223"/>
      <x:c r="L2" s="223"/>
      <x:c r="M2" s="223"/>
      <x:c r="N2" s="223"/>
      <x:c r="O2" s="223"/>
      <x:c r="P2" s="223"/>
      <x:c r="Q2" s="223"/>
      <x:c r="R2" s="223"/>
      <x:c r="S2" s="223"/>
      <x:c r="T2" s="223"/>
      <x:c r="U2" s="223"/>
      <x:c r="V2" s="223"/>
      <x:c r="W2" s="223"/>
      <x:c r="X2" s="223"/>
      <x:c r="Y2" s="223"/>
      <x:c r="Z2" s="223"/>
    </x:row>
    <x:row r="3">
      <x:c r="A3" s="223"/>
      <x:c r="B3" s="223"/>
      <x:c r="C3" s="223"/>
      <x:c r="D3" s="223"/>
      <x:c r="E3" s="223"/>
      <x:c r="F3" s="223"/>
      <x:c r="G3" s="223"/>
      <x:c r="H3" s="223"/>
      <x:c r="I3" s="223"/>
      <x:c r="J3" s="223"/>
      <x:c r="K3" s="223"/>
      <x:c r="L3" s="223"/>
      <x:c r="M3" s="223"/>
      <x:c r="N3" s="223"/>
      <x:c r="O3" s="223"/>
      <x:c r="P3" s="223"/>
      <x:c r="Q3" s="223"/>
      <x:c r="R3" s="223"/>
      <x:c r="S3" s="223"/>
      <x:c r="T3" s="223"/>
      <x:c r="U3" s="223"/>
      <x:c r="V3" s="223"/>
      <x:c r="W3" s="223"/>
      <x:c r="X3" s="223"/>
      <x:c r="Y3" s="223"/>
      <x:c r="Z3" s="223"/>
    </x:row>
    <x:row r="4">
      <x:c r="A4" s="289" t="str">
        <x:v>交易ID</x:v>
      </x:c>
      <x:c r="B4" s="290" t="str">
        <x:v>卡名</x:v>
      </x:c>
      <x:c r="C4" s="290" t="str">
        <x:v>系列/编号</x:v>
      </x:c>
      <x:c r="D4" s="290" t="str">
        <x:v>语言</x:v>
      </x:c>
      <x:c r="E4" s="290" t="str">
        <x:v>PSA证书号</x:v>
      </x:c>
      <x:c r="F4" s="290" t="str">
        <x:v>购入日期</x:v>
      </x:c>
      <x:c r="G4" s="290" t="str">
        <x:v>购入平台</x:v>
      </x:c>
      <x:c r="H4" s="290" t="str">
        <x:v>购入价</x:v>
      </x:c>
      <x:c r="I4" s="290" t="str">
        <x:v>购入费率%</x:v>
      </x:c>
      <x:c r="J4" s="290" t="str">
        <x:v>购入运费</x:v>
      </x:c>
      <x:c r="K4" s="290" t="str">
        <x:v>总成本</x:v>
      </x:c>
      <x:c r="L4" s="290" t="str">
        <x:v>上架日期</x:v>
      </x:c>
      <x:c r="M4" s="290" t="str">
        <x:v>售出日期</x:v>
      </x:c>
      <x:c r="N4" s="290" t="str">
        <x:v>售出平台</x:v>
      </x:c>
      <x:c r="O4" s="290" t="str">
        <x:v>售出价</x:v>
      </x:c>
      <x:c r="P4" s="290" t="str">
        <x:v>售出费率%</x:v>
      </x:c>
      <x:c r="Q4" s="290" t="str">
        <x:v>支付/提现%</x:v>
      </x:c>
      <x:c r="R4" s="290" t="str">
        <x:v>出货运费</x:v>
      </x:c>
      <x:c r="S4" s="290" t="str">
        <x:v>净回款</x:v>
      </x:c>
      <x:c r="T4" s="290" t="str">
        <x:v>实际利润</x:v>
      </x:c>
      <x:c r="U4" s="290" t="str">
        <x:v>ROI</x:v>
      </x:c>
      <x:c r="V4" s="290" t="str">
        <x:v>持仓天数</x:v>
      </x:c>
      <x:c r="W4" s="290" t="str">
        <x:v>状态</x:v>
      </x:c>
      <x:c r="X4" s="290" t="str">
        <x:v>买家/订单号</x:v>
      </x:c>
      <x:c r="Y4" s="290" t="str">
        <x:v>PSA查询URL</x:v>
      </x:c>
      <x:c r="Z4" s="291" t="str">
        <x:v>备注</x:v>
      </x:c>
    </x:row>
    <x:row r="5">
      <x:c r="A5" s="223" t="str">
        <x:v>T001</x:v>
      </x:c>
      <x:c r="B5" s="223" t="str">
        <x:v>Pikachu Promo PSA10</x:v>
      </x:c>
      <x:c r="C5" s="223" t="str">
        <x:v>SV-P / Promo</x:v>
      </x:c>
      <x:c r="D5" s="223" t="str">
        <x:v>日文</x:v>
      </x:c>
      <x:c r="E5" s="223" t="str"/>
      <x:c r="F5" s="292" t="n">
        <x:v>46227</x:v>
      </x:c>
      <x:c r="G5" s="223" t="str">
        <x:v>Card Hobby</x:v>
      </x:c>
      <x:c r="H5" s="282" t="n">
        <x:v>930</x:v>
      </x:c>
      <x:c r="I5" s="293" t="n">
        <x:f>IF(G5="",0,XLOOKUP(G5,'平台参数'!$A$5:$A$9,'平台参数'!$E$5:$E$9,0)+XLOOKUP(G5,'平台参数'!$A$5:$A$9,'平台参数'!$G$5:$G$9,0))</x:f>
        <x:v>0.060000000000000005</x:v>
      </x:c>
      <x:c r="J5" s="282" t="n">
        <x:f>IF(G5="",0,XLOOKUP(G5,'平台参数'!$A$5:$A$9,'平台参数'!$H$5:$H$9,0))</x:f>
        <x:v>20</x:v>
      </x:c>
      <x:c r="K5" s="282" t="n">
        <x:f>IF(H5=0,0,H5*(1+I5)+J5)</x:f>
        <x:v>1005.8000000000001</x:v>
      </x:c>
      <x:c r="L5" s="292" t="n">
        <x:v>46227</x:v>
      </x:c>
      <x:c r="M5" s="292"/>
      <x:c r="N5" s="223" t="str">
        <x:v>Fanatics Collect</x:v>
      </x:c>
      <x:c r="O5" s="282" t="n">
        <x:v>1300</x:v>
      </x:c>
      <x:c r="P5" s="293" t="n">
        <x:f>IF(N5="",0,XLOOKUP(N5,'平台参数'!$A$5:$A$9,'平台参数'!$F$5:$F$9,0))</x:f>
        <x:v>0.1</x:v>
      </x:c>
      <x:c r="Q5" s="293" t="n">
        <x:f>IF(N5="",0,XLOOKUP(N5,'平台参数'!$A$5:$A$9,'平台参数'!$G$5:$G$9,0))</x:f>
        <x:v>0.03</x:v>
      </x:c>
      <x:c r="R5" s="282" t="n">
        <x:f>IF(N5="",0,XLOOKUP(N5,'平台参数'!$A$5:$A$9,'平台参数'!$I$5:$I$9,0))</x:f>
        <x:v>20</x:v>
      </x:c>
      <x:c r="S5" s="282" t="n">
        <x:f>IF(O5=0,0,O5*(1-P5-Q5)-R5)</x:f>
        <x:v>1111</x:v>
      </x:c>
      <x:c r="T5" s="282" t="n">
        <x:f>S5-K5</x:f>
        <x:v>105.19999999999993</x:v>
      </x:c>
      <x:c r="U5" s="293" t="n">
        <x:f>IFERROR(T5/K5,0)</x:f>
        <x:v>0.10459335852058056</x:v>
      </x:c>
      <x:c r="V5" s="282" t="n">
        <x:f>IF(F5="",0,IF(M5="",TODAY()-F5,M5-F5))</x:f>
        <x:v>1</x:v>
      </x:c>
      <x:c r="W5" s="223" t="str">
        <x:v>库存</x:v>
      </x:c>
      <x:c r="X5" s="223" t="str"/>
      <x:c r="Y5" s="223" t="str"/>
      <x:c r="Z5" s="223" t="str">
        <x:v>样例</x:v>
      </x:c>
    </x:row>
    <x:row r="6">
      <x:c r="A6" s="223" t="str">
        <x:v>T002</x:v>
      </x:c>
      <x:c r="B6" s="223" t="str">
        <x:v>Charizard ex SAR PSA10</x:v>
      </x:c>
      <x:c r="C6" s="223" t="str">
        <x:v>SV / SAR</x:v>
      </x:c>
      <x:c r="D6" s="223" t="str">
        <x:v>日文</x:v>
      </x:c>
      <x:c r="E6" s="223" t="str"/>
      <x:c r="F6" s="292" t="n">
        <x:v>46227</x:v>
      </x:c>
      <x:c r="G6" s="223" t="str">
        <x:v>PokerColor</x:v>
      </x:c>
      <x:c r="H6" s="282" t="n">
        <x:v>1720</x:v>
      </x:c>
      <x:c r="I6" s="293" t="n">
        <x:f>IF(G6="",0,XLOOKUP(G6,'平台参数'!$A$5:$A$9,'平台参数'!$E$5:$E$9,0)+XLOOKUP(G6,'平台参数'!$A$5:$A$9,'平台参数'!$G$5:$G$9,0))</x:f>
        <x:v>0.04</x:v>
      </x:c>
      <x:c r="J6" s="282" t="n">
        <x:f>IF(G6="",0,XLOOKUP(G6,'平台参数'!$A$5:$A$9,'平台参数'!$H$5:$H$9,0))</x:f>
        <x:v>15</x:v>
      </x:c>
      <x:c r="K6" s="282" t="n">
        <x:f>IF(H6=0,0,H6*(1+I6)+J6)</x:f>
        <x:v>1803.8</x:v>
      </x:c>
      <x:c r="L6" s="292" t="n">
        <x:v>46227</x:v>
      </x:c>
      <x:c r="M6" s="292"/>
      <x:c r="N6" s="223" t="str">
        <x:v>eBay</x:v>
      </x:c>
      <x:c r="O6" s="282" t="n">
        <x:v>2180</x:v>
      </x:c>
      <x:c r="P6" s="293" t="n">
        <x:f>IF(N6="",0,XLOOKUP(N6,'平台参数'!$A$5:$A$9,'平台参数'!$F$5:$F$9,0))</x:f>
        <x:v>0.13</x:v>
      </x:c>
      <x:c r="Q6" s="293" t="n">
        <x:f>IF(N6="",0,XLOOKUP(N6,'平台参数'!$A$5:$A$9,'平台参数'!$G$5:$G$9,0))</x:f>
        <x:v>0.03</x:v>
      </x:c>
      <x:c r="R6" s="282" t="n">
        <x:f>IF(N6="",0,XLOOKUP(N6,'平台参数'!$A$5:$A$9,'平台参数'!$I$5:$I$9,0))</x:f>
        <x:v>20</x:v>
      </x:c>
      <x:c r="S6" s="282" t="n">
        <x:f>IF(O6=0,0,O6*(1-P6-Q6)-R6)</x:f>
        <x:v>1811.2</x:v>
      </x:c>
      <x:c r="T6" s="282" t="n">
        <x:f>S6-K6</x:f>
        <x:v>7.400000000000091</x:v>
      </x:c>
      <x:c r="U6" s="293" t="n">
        <x:f>IFERROR(T6/K6,0)</x:f>
        <x:v>0.004102450382525829</x:v>
      </x:c>
      <x:c r="V6" s="282" t="n">
        <x:f>IF(F6="",0,IF(M6="",TODAY()-F6,M6-F6))</x:f>
        <x:v>1</x:v>
      </x:c>
      <x:c r="W6" s="223" t="str">
        <x:v>已上架</x:v>
      </x:c>
      <x:c r="X6" s="223" t="str"/>
      <x:c r="Y6" s="223" t="str"/>
      <x:c r="Z6" s="223" t="str">
        <x:v>样例</x:v>
      </x:c>
    </x:row>
    <x:row r="7">
      <x:c r="A7" s="223" t="str">
        <x:v>T003</x:v>
      </x:c>
      <x:c r="B7" s="223" t="str">
        <x:v>Lillie Full Art PSA10</x:v>
      </x:c>
      <x:c r="C7" s="223" t="str">
        <x:v>SM / Trainer</x:v>
      </x:c>
      <x:c r="D7" s="223" t="str">
        <x:v>日文</x:v>
      </x:c>
      <x:c r="E7" s="223" t="str"/>
      <x:c r="F7" s="292" t="n">
        <x:v>46227</x:v>
      </x:c>
      <x:c r="G7" s="223" t="str">
        <x:v>PokerColor</x:v>
      </x:c>
      <x:c r="H7" s="282" t="n">
        <x:v>6500</x:v>
      </x:c>
      <x:c r="I7" s="293" t="n">
        <x:f>IF(G7="",0,XLOOKUP(G7,'平台参数'!$A$5:$A$9,'平台参数'!$E$5:$E$9,0)+XLOOKUP(G7,'平台参数'!$A$5:$A$9,'平台参数'!$G$5:$G$9,0))</x:f>
        <x:v>0.04</x:v>
      </x:c>
      <x:c r="J7" s="282" t="n">
        <x:f>IF(G7="",0,XLOOKUP(G7,'平台参数'!$A$5:$A$9,'平台参数'!$H$5:$H$9,0))</x:f>
        <x:v>15</x:v>
      </x:c>
      <x:c r="K7" s="282" t="n">
        <x:f>IF(H7=0,0,H7*(1+I7)+J7)</x:f>
        <x:v>6775</x:v>
      </x:c>
      <x:c r="L7" s="292"/>
      <x:c r="M7" s="292"/>
      <x:c r="N7" s="223" t="str"/>
      <x:c r="O7" s="282" t="n">
        <x:v>0</x:v>
      </x:c>
      <x:c r="P7" s="293" t="n">
        <x:f>IF(N7="",0,XLOOKUP(N7,'平台参数'!$A$5:$A$9,'平台参数'!$F$5:$F$9,0))</x:f>
        <x:v>0</x:v>
      </x:c>
      <x:c r="Q7" s="293" t="n">
        <x:f>IF(N7="",0,XLOOKUP(N7,'平台参数'!$A$5:$A$9,'平台参数'!$G$5:$G$9,0))</x:f>
        <x:v>0</x:v>
      </x:c>
      <x:c r="R7" s="282" t="n">
        <x:f>IF(N7="",0,XLOOKUP(N7,'平台参数'!$A$5:$A$9,'平台参数'!$I$5:$I$9,0))</x:f>
        <x:v>0</x:v>
      </x:c>
      <x:c r="S7" s="282" t="n">
        <x:f>IF(O7=0,0,O7*(1-P7-Q7)-R7)</x:f>
        <x:v>0</x:v>
      </x:c>
      <x:c r="T7" s="282" t="n">
        <x:f>S7-K7</x:f>
        <x:v>-6775</x:v>
      </x:c>
      <x:c r="U7" s="293" t="n">
        <x:f>IFERROR(T7/K7,0)</x:f>
        <x:v>-1</x:v>
      </x:c>
      <x:c r="V7" s="282" t="n">
        <x:f>IF(F7="",0,IF(M7="",TODAY()-F7,M7-F7))</x:f>
        <x:v>1</x:v>
      </x:c>
      <x:c r="W7" s="223" t="str">
        <x:v>观察</x:v>
      </x:c>
      <x:c r="X7" s="223" t="str"/>
      <x:c r="Y7" s="223" t="str"/>
      <x:c r="Z7" s="223" t="str">
        <x:v>样例</x:v>
      </x:c>
    </x:row>
    <x:row r="8">
      <x:c r="A8" s="223"/>
      <x:c r="B8" s="223"/>
      <x:c r="C8" s="223"/>
      <x:c r="D8" s="223"/>
      <x:c r="E8" s="223"/>
      <x:c r="F8" s="292"/>
      <x:c r="G8" s="223"/>
      <x:c r="H8" s="282"/>
      <x:c r="I8" s="293" t="n">
        <x:f>IF(G8="",0,XLOOKUP(G8,'平台参数'!$A$5:$A$9,'平台参数'!$E$5:$E$9,0)+XLOOKUP(G8,'平台参数'!$A$5:$A$9,'平台参数'!$G$5:$G$9,0))</x:f>
        <x:v>0</x:v>
      </x:c>
      <x:c r="J8" s="282" t="n">
        <x:f>IF(G8="",0,XLOOKUP(G8,'平台参数'!$A$5:$A$9,'平台参数'!$H$5:$H$9,0))</x:f>
        <x:v>0</x:v>
      </x:c>
      <x:c r="K8" s="282" t="n">
        <x:f>IF(H8=0,0,H8*(1+I8)+J8)</x:f>
        <x:v>0</x:v>
      </x:c>
      <x:c r="L8" s="292"/>
      <x:c r="M8" s="292"/>
      <x:c r="N8" s="223"/>
      <x:c r="O8" s="282"/>
      <x:c r="P8" s="293" t="n">
        <x:f>IF(N8="",0,XLOOKUP(N8,'平台参数'!$A$5:$A$9,'平台参数'!$F$5:$F$9,0))</x:f>
        <x:v>0</x:v>
      </x:c>
      <x:c r="Q8" s="293" t="n">
        <x:f>IF(N8="",0,XLOOKUP(N8,'平台参数'!$A$5:$A$9,'平台参数'!$G$5:$G$9,0))</x:f>
        <x:v>0</x:v>
      </x:c>
      <x:c r="R8" s="282" t="n">
        <x:f>IF(N8="",0,XLOOKUP(N8,'平台参数'!$A$5:$A$9,'平台参数'!$I$5:$I$9,0))</x:f>
        <x:v>0</x:v>
      </x:c>
      <x:c r="S8" s="282" t="n">
        <x:f>IF(O8=0,0,O8*(1-P8-Q8)-R8)</x:f>
        <x:v>0</x:v>
      </x:c>
      <x:c r="T8" s="282" t="n">
        <x:f>S8-K8</x:f>
        <x:v>0</x:v>
      </x:c>
      <x:c r="U8" s="293" t="n">
        <x:f>IFERROR(T8/K8,0)</x:f>
        <x:v>0</x:v>
      </x:c>
      <x:c r="V8" s="282" t="n">
        <x:f>IF(F8="",0,IF(M8="",TODAY()-F8,M8-F8))</x:f>
        <x:v>0</x:v>
      </x:c>
      <x:c r="W8" s="223"/>
      <x:c r="X8" s="223"/>
      <x:c r="Y8" s="223"/>
      <x:c r="Z8" s="223"/>
    </x:row>
    <x:row r="9">
      <x:c r="A9" s="223"/>
      <x:c r="B9" s="223"/>
      <x:c r="C9" s="223"/>
      <x:c r="D9" s="223"/>
      <x:c r="E9" s="223"/>
      <x:c r="F9" s="292"/>
      <x:c r="G9" s="223"/>
      <x:c r="H9" s="282"/>
      <x:c r="I9" s="293" t="n">
        <x:f>IF(G9="",0,XLOOKUP(G9,'平台参数'!$A$5:$A$9,'平台参数'!$E$5:$E$9,0)+XLOOKUP(G9,'平台参数'!$A$5:$A$9,'平台参数'!$G$5:$G$9,0))</x:f>
        <x:v>0</x:v>
      </x:c>
      <x:c r="J9" s="282" t="n">
        <x:f>IF(G9="",0,XLOOKUP(G9,'平台参数'!$A$5:$A$9,'平台参数'!$H$5:$H$9,0))</x:f>
        <x:v>0</x:v>
      </x:c>
      <x:c r="K9" s="282" t="n">
        <x:f>IF(H9=0,0,H9*(1+I9)+J9)</x:f>
        <x:v>0</x:v>
      </x:c>
      <x:c r="L9" s="292"/>
      <x:c r="M9" s="292"/>
      <x:c r="N9" s="223"/>
      <x:c r="O9" s="282"/>
      <x:c r="P9" s="293" t="n">
        <x:f>IF(N9="",0,XLOOKUP(N9,'平台参数'!$A$5:$A$9,'平台参数'!$F$5:$F$9,0))</x:f>
        <x:v>0</x:v>
      </x:c>
      <x:c r="Q9" s="293" t="n">
        <x:f>IF(N9="",0,XLOOKUP(N9,'平台参数'!$A$5:$A$9,'平台参数'!$G$5:$G$9,0))</x:f>
        <x:v>0</x:v>
      </x:c>
      <x:c r="R9" s="282" t="n">
        <x:f>IF(N9="",0,XLOOKUP(N9,'平台参数'!$A$5:$A$9,'平台参数'!$I$5:$I$9,0))</x:f>
        <x:v>0</x:v>
      </x:c>
      <x:c r="S9" s="282" t="n">
        <x:f>IF(O9=0,0,O9*(1-P9-Q9)-R9)</x:f>
        <x:v>0</x:v>
      </x:c>
      <x:c r="T9" s="282" t="n">
        <x:f>S9-K9</x:f>
        <x:v>0</x:v>
      </x:c>
      <x:c r="U9" s="293" t="n">
        <x:f>IFERROR(T9/K9,0)</x:f>
        <x:v>0</x:v>
      </x:c>
      <x:c r="V9" s="282" t="n">
        <x:f>IF(F9="",0,IF(M9="",TODAY()-F9,M9-F9))</x:f>
        <x:v>0</x:v>
      </x:c>
      <x:c r="W9" s="223"/>
      <x:c r="X9" s="223"/>
      <x:c r="Y9" s="223"/>
      <x:c r="Z9" s="223"/>
    </x:row>
    <x:row r="10">
      <x:c r="A10" s="223"/>
      <x:c r="B10" s="223"/>
      <x:c r="C10" s="223"/>
      <x:c r="D10" s="223"/>
      <x:c r="E10" s="223"/>
      <x:c r="F10" s="292"/>
      <x:c r="G10" s="223"/>
      <x:c r="H10" s="282"/>
      <x:c r="I10" s="293" t="n">
        <x:f>IF(G10="",0,XLOOKUP(G10,'平台参数'!$A$5:$A$9,'平台参数'!$E$5:$E$9,0)+XLOOKUP(G10,'平台参数'!$A$5:$A$9,'平台参数'!$G$5:$G$9,0))</x:f>
        <x:v>0</x:v>
      </x:c>
      <x:c r="J10" s="282" t="n">
        <x:f>IF(G10="",0,XLOOKUP(G10,'平台参数'!$A$5:$A$9,'平台参数'!$H$5:$H$9,0))</x:f>
        <x:v>0</x:v>
      </x:c>
      <x:c r="K10" s="282" t="n">
        <x:f>IF(H10=0,0,H10*(1+I10)+J10)</x:f>
        <x:v>0</x:v>
      </x:c>
      <x:c r="L10" s="292"/>
      <x:c r="M10" s="292"/>
      <x:c r="N10" s="223"/>
      <x:c r="O10" s="282"/>
      <x:c r="P10" s="293" t="n">
        <x:f>IF(N10="",0,XLOOKUP(N10,'平台参数'!$A$5:$A$9,'平台参数'!$F$5:$F$9,0))</x:f>
        <x:v>0</x:v>
      </x:c>
      <x:c r="Q10" s="293" t="n">
        <x:f>IF(N10="",0,XLOOKUP(N10,'平台参数'!$A$5:$A$9,'平台参数'!$G$5:$G$9,0))</x:f>
        <x:v>0</x:v>
      </x:c>
      <x:c r="R10" s="282" t="n">
        <x:f>IF(N10="",0,XLOOKUP(N10,'平台参数'!$A$5:$A$9,'平台参数'!$I$5:$I$9,0))</x:f>
        <x:v>0</x:v>
      </x:c>
      <x:c r="S10" s="282" t="n">
        <x:f>IF(O10=0,0,O10*(1-P10-Q10)-R10)</x:f>
        <x:v>0</x:v>
      </x:c>
      <x:c r="T10" s="282" t="n">
        <x:f>S10-K10</x:f>
        <x:v>0</x:v>
      </x:c>
      <x:c r="U10" s="293" t="n">
        <x:f>IFERROR(T10/K10,0)</x:f>
        <x:v>0</x:v>
      </x:c>
      <x:c r="V10" s="282" t="n">
        <x:f>IF(F10="",0,IF(M10="",TODAY()-F10,M10-F10))</x:f>
        <x:v>0</x:v>
      </x:c>
      <x:c r="W10" s="223"/>
      <x:c r="X10" s="223"/>
      <x:c r="Y10" s="223"/>
      <x:c r="Z10" s="223"/>
    </x:row>
    <x:row r="11">
      <x:c r="A11" s="223"/>
      <x:c r="B11" s="223"/>
      <x:c r="C11" s="223"/>
      <x:c r="D11" s="223"/>
      <x:c r="E11" s="223"/>
      <x:c r="F11" s="292"/>
      <x:c r="G11" s="223"/>
      <x:c r="H11" s="282"/>
      <x:c r="I11" s="293" t="n">
        <x:f>IF(G11="",0,XLOOKUP(G11,'平台参数'!$A$5:$A$9,'平台参数'!$E$5:$E$9,0)+XLOOKUP(G11,'平台参数'!$A$5:$A$9,'平台参数'!$G$5:$G$9,0))</x:f>
        <x:v>0</x:v>
      </x:c>
      <x:c r="J11" s="282" t="n">
        <x:f>IF(G11="",0,XLOOKUP(G11,'平台参数'!$A$5:$A$9,'平台参数'!$H$5:$H$9,0))</x:f>
        <x:v>0</x:v>
      </x:c>
      <x:c r="K11" s="282" t="n">
        <x:f>IF(H11=0,0,H11*(1+I11)+J11)</x:f>
        <x:v>0</x:v>
      </x:c>
      <x:c r="L11" s="292"/>
      <x:c r="M11" s="292"/>
      <x:c r="N11" s="223"/>
      <x:c r="O11" s="282"/>
      <x:c r="P11" s="293" t="n">
        <x:f>IF(N11="",0,XLOOKUP(N11,'平台参数'!$A$5:$A$9,'平台参数'!$F$5:$F$9,0))</x:f>
        <x:v>0</x:v>
      </x:c>
      <x:c r="Q11" s="293" t="n">
        <x:f>IF(N11="",0,XLOOKUP(N11,'平台参数'!$A$5:$A$9,'平台参数'!$G$5:$G$9,0))</x:f>
        <x:v>0</x:v>
      </x:c>
      <x:c r="R11" s="282" t="n">
        <x:f>IF(N11="",0,XLOOKUP(N11,'平台参数'!$A$5:$A$9,'平台参数'!$I$5:$I$9,0))</x:f>
        <x:v>0</x:v>
      </x:c>
      <x:c r="S11" s="282" t="n">
        <x:f>IF(O11=0,0,O11*(1-P11-Q11)-R11)</x:f>
        <x:v>0</x:v>
      </x:c>
      <x:c r="T11" s="282" t="n">
        <x:f>S11-K11</x:f>
        <x:v>0</x:v>
      </x:c>
      <x:c r="U11" s="293" t="n">
        <x:f>IFERROR(T11/K11,0)</x:f>
        <x:v>0</x:v>
      </x:c>
      <x:c r="V11" s="282" t="n">
        <x:f>IF(F11="",0,IF(M11="",TODAY()-F11,M11-F11))</x:f>
        <x:v>0</x:v>
      </x:c>
      <x:c r="W11" s="223"/>
      <x:c r="X11" s="223"/>
      <x:c r="Y11" s="223"/>
      <x:c r="Z11" s="223"/>
    </x:row>
    <x:row r="12">
      <x:c r="A12" s="223"/>
      <x:c r="B12" s="223"/>
      <x:c r="C12" s="223"/>
      <x:c r="D12" s="223"/>
      <x:c r="E12" s="223"/>
      <x:c r="F12" s="292"/>
      <x:c r="G12" s="223"/>
      <x:c r="H12" s="282"/>
      <x:c r="I12" s="293" t="n">
        <x:f>IF(G12="",0,XLOOKUP(G12,'平台参数'!$A$5:$A$9,'平台参数'!$E$5:$E$9,0)+XLOOKUP(G12,'平台参数'!$A$5:$A$9,'平台参数'!$G$5:$G$9,0))</x:f>
        <x:v>0</x:v>
      </x:c>
      <x:c r="J12" s="282" t="n">
        <x:f>IF(G12="",0,XLOOKUP(G12,'平台参数'!$A$5:$A$9,'平台参数'!$H$5:$H$9,0))</x:f>
        <x:v>0</x:v>
      </x:c>
      <x:c r="K12" s="282" t="n">
        <x:f>IF(H12=0,0,H12*(1+I12)+J12)</x:f>
        <x:v>0</x:v>
      </x:c>
      <x:c r="L12" s="292"/>
      <x:c r="M12" s="292"/>
      <x:c r="N12" s="223"/>
      <x:c r="O12" s="282"/>
      <x:c r="P12" s="293" t="n">
        <x:f>IF(N12="",0,XLOOKUP(N12,'平台参数'!$A$5:$A$9,'平台参数'!$F$5:$F$9,0))</x:f>
        <x:v>0</x:v>
      </x:c>
      <x:c r="Q12" s="293" t="n">
        <x:f>IF(N12="",0,XLOOKUP(N12,'平台参数'!$A$5:$A$9,'平台参数'!$G$5:$G$9,0))</x:f>
        <x:v>0</x:v>
      </x:c>
      <x:c r="R12" s="282" t="n">
        <x:f>IF(N12="",0,XLOOKUP(N12,'平台参数'!$A$5:$A$9,'平台参数'!$I$5:$I$9,0))</x:f>
        <x:v>0</x:v>
      </x:c>
      <x:c r="S12" s="282" t="n">
        <x:f>IF(O12=0,0,O12*(1-P12-Q12)-R12)</x:f>
        <x:v>0</x:v>
      </x:c>
      <x:c r="T12" s="282" t="n">
        <x:f>S12-K12</x:f>
        <x:v>0</x:v>
      </x:c>
      <x:c r="U12" s="293" t="n">
        <x:f>IFERROR(T12/K12,0)</x:f>
        <x:v>0</x:v>
      </x:c>
      <x:c r="V12" s="282" t="n">
        <x:f>IF(F12="",0,IF(M12="",TODAY()-F12,M12-F12))</x:f>
        <x:v>0</x:v>
      </x:c>
      <x:c r="W12" s="223"/>
      <x:c r="X12" s="223"/>
      <x:c r="Y12" s="223"/>
      <x:c r="Z12" s="223"/>
    </x:row>
    <x:row r="13">
      <x:c r="A13" s="223"/>
      <x:c r="B13" s="223"/>
      <x:c r="C13" s="223"/>
      <x:c r="D13" s="223"/>
      <x:c r="E13" s="223"/>
      <x:c r="F13" s="292"/>
      <x:c r="G13" s="223"/>
      <x:c r="H13" s="282"/>
      <x:c r="I13" s="293" t="n">
        <x:f>IF(G13="",0,XLOOKUP(G13,'平台参数'!$A$5:$A$9,'平台参数'!$E$5:$E$9,0)+XLOOKUP(G13,'平台参数'!$A$5:$A$9,'平台参数'!$G$5:$G$9,0))</x:f>
        <x:v>0</x:v>
      </x:c>
      <x:c r="J13" s="282" t="n">
        <x:f>IF(G13="",0,XLOOKUP(G13,'平台参数'!$A$5:$A$9,'平台参数'!$H$5:$H$9,0))</x:f>
        <x:v>0</x:v>
      </x:c>
      <x:c r="K13" s="282" t="n">
        <x:f>IF(H13=0,0,H13*(1+I13)+J13)</x:f>
        <x:v>0</x:v>
      </x:c>
      <x:c r="L13" s="292"/>
      <x:c r="M13" s="292"/>
      <x:c r="N13" s="223"/>
      <x:c r="O13" s="282"/>
      <x:c r="P13" s="293" t="n">
        <x:f>IF(N13="",0,XLOOKUP(N13,'平台参数'!$A$5:$A$9,'平台参数'!$F$5:$F$9,0))</x:f>
        <x:v>0</x:v>
      </x:c>
      <x:c r="Q13" s="293" t="n">
        <x:f>IF(N13="",0,XLOOKUP(N13,'平台参数'!$A$5:$A$9,'平台参数'!$G$5:$G$9,0))</x:f>
        <x:v>0</x:v>
      </x:c>
      <x:c r="R13" s="282" t="n">
        <x:f>IF(N13="",0,XLOOKUP(N13,'平台参数'!$A$5:$A$9,'平台参数'!$I$5:$I$9,0))</x:f>
        <x:v>0</x:v>
      </x:c>
      <x:c r="S13" s="282" t="n">
        <x:f>IF(O13=0,0,O13*(1-P13-Q13)-R13)</x:f>
        <x:v>0</x:v>
      </x:c>
      <x:c r="T13" s="282" t="n">
        <x:f>S13-K13</x:f>
        <x:v>0</x:v>
      </x:c>
      <x:c r="U13" s="293" t="n">
        <x:f>IFERROR(T13/K13,0)</x:f>
        <x:v>0</x:v>
      </x:c>
      <x:c r="V13" s="282" t="n">
        <x:f>IF(F13="",0,IF(M13="",TODAY()-F13,M13-F13))</x:f>
        <x:v>0</x:v>
      </x:c>
      <x:c r="W13" s="223"/>
      <x:c r="X13" s="223"/>
      <x:c r="Y13" s="223"/>
      <x:c r="Z13" s="223"/>
    </x:row>
    <x:row r="14">
      <x:c r="A14" s="223"/>
      <x:c r="B14" s="223"/>
      <x:c r="C14" s="223"/>
      <x:c r="D14" s="223"/>
      <x:c r="E14" s="223"/>
      <x:c r="F14" s="292"/>
      <x:c r="G14" s="223"/>
      <x:c r="H14" s="282"/>
      <x:c r="I14" s="293" t="n">
        <x:f>IF(G14="",0,XLOOKUP(G14,'平台参数'!$A$5:$A$9,'平台参数'!$E$5:$E$9,0)+XLOOKUP(G14,'平台参数'!$A$5:$A$9,'平台参数'!$G$5:$G$9,0))</x:f>
        <x:v>0</x:v>
      </x:c>
      <x:c r="J14" s="282" t="n">
        <x:f>IF(G14="",0,XLOOKUP(G14,'平台参数'!$A$5:$A$9,'平台参数'!$H$5:$H$9,0))</x:f>
        <x:v>0</x:v>
      </x:c>
      <x:c r="K14" s="282" t="n">
        <x:f>IF(H14=0,0,H14*(1+I14)+J14)</x:f>
        <x:v>0</x:v>
      </x:c>
      <x:c r="L14" s="292"/>
      <x:c r="M14" s="292"/>
      <x:c r="N14" s="223"/>
      <x:c r="O14" s="282"/>
      <x:c r="P14" s="293" t="n">
        <x:f>IF(N14="",0,XLOOKUP(N14,'平台参数'!$A$5:$A$9,'平台参数'!$F$5:$F$9,0))</x:f>
        <x:v>0</x:v>
      </x:c>
      <x:c r="Q14" s="293" t="n">
        <x:f>IF(N14="",0,XLOOKUP(N14,'平台参数'!$A$5:$A$9,'平台参数'!$G$5:$G$9,0))</x:f>
        <x:v>0</x:v>
      </x:c>
      <x:c r="R14" s="282" t="n">
        <x:f>IF(N14="",0,XLOOKUP(N14,'平台参数'!$A$5:$A$9,'平台参数'!$I$5:$I$9,0))</x:f>
        <x:v>0</x:v>
      </x:c>
      <x:c r="S14" s="282" t="n">
        <x:f>IF(O14=0,0,O14*(1-P14-Q14)-R14)</x:f>
        <x:v>0</x:v>
      </x:c>
      <x:c r="T14" s="282" t="n">
        <x:f>S14-K14</x:f>
        <x:v>0</x:v>
      </x:c>
      <x:c r="U14" s="293" t="n">
        <x:f>IFERROR(T14/K14,0)</x:f>
        <x:v>0</x:v>
      </x:c>
      <x:c r="V14" s="282" t="n">
        <x:f>IF(F14="",0,IF(M14="",TODAY()-F14,M14-F14))</x:f>
        <x:v>0</x:v>
      </x:c>
      <x:c r="W14" s="223"/>
      <x:c r="X14" s="223"/>
      <x:c r="Y14" s="223"/>
      <x:c r="Z14" s="223"/>
    </x:row>
    <x:row r="15">
      <x:c r="A15" s="223"/>
      <x:c r="B15" s="223"/>
      <x:c r="C15" s="223"/>
      <x:c r="D15" s="223"/>
      <x:c r="E15" s="223"/>
      <x:c r="F15" s="292"/>
      <x:c r="G15" s="223"/>
      <x:c r="H15" s="282"/>
      <x:c r="I15" s="293" t="n">
        <x:f>IF(G15="",0,XLOOKUP(G15,'平台参数'!$A$5:$A$9,'平台参数'!$E$5:$E$9,0)+XLOOKUP(G15,'平台参数'!$A$5:$A$9,'平台参数'!$G$5:$G$9,0))</x:f>
        <x:v>0</x:v>
      </x:c>
      <x:c r="J15" s="282" t="n">
        <x:f>IF(G15="",0,XLOOKUP(G15,'平台参数'!$A$5:$A$9,'平台参数'!$H$5:$H$9,0))</x:f>
        <x:v>0</x:v>
      </x:c>
      <x:c r="K15" s="282" t="n">
        <x:f>IF(H15=0,0,H15*(1+I15)+J15)</x:f>
        <x:v>0</x:v>
      </x:c>
      <x:c r="L15" s="292"/>
      <x:c r="M15" s="292"/>
      <x:c r="N15" s="223"/>
      <x:c r="O15" s="282"/>
      <x:c r="P15" s="293" t="n">
        <x:f>IF(N15="",0,XLOOKUP(N15,'平台参数'!$A$5:$A$9,'平台参数'!$F$5:$F$9,0))</x:f>
        <x:v>0</x:v>
      </x:c>
      <x:c r="Q15" s="293" t="n">
        <x:f>IF(N15="",0,XLOOKUP(N15,'平台参数'!$A$5:$A$9,'平台参数'!$G$5:$G$9,0))</x:f>
        <x:v>0</x:v>
      </x:c>
      <x:c r="R15" s="282" t="n">
        <x:f>IF(N15="",0,XLOOKUP(N15,'平台参数'!$A$5:$A$9,'平台参数'!$I$5:$I$9,0))</x:f>
        <x:v>0</x:v>
      </x:c>
      <x:c r="S15" s="282" t="n">
        <x:f>IF(O15=0,0,O15*(1-P15-Q15)-R15)</x:f>
        <x:v>0</x:v>
      </x:c>
      <x:c r="T15" s="282" t="n">
        <x:f>S15-K15</x:f>
        <x:v>0</x:v>
      </x:c>
      <x:c r="U15" s="293" t="n">
        <x:f>IFERROR(T15/K15,0)</x:f>
        <x:v>0</x:v>
      </x:c>
      <x:c r="V15" s="282" t="n">
        <x:f>IF(F15="",0,IF(M15="",TODAY()-F15,M15-F15))</x:f>
        <x:v>0</x:v>
      </x:c>
      <x:c r="W15" s="223"/>
      <x:c r="X15" s="223"/>
      <x:c r="Y15" s="223"/>
      <x:c r="Z15" s="223"/>
    </x:row>
    <x:row r="16">
      <x:c r="A16" s="223"/>
      <x:c r="B16" s="223"/>
      <x:c r="C16" s="223"/>
      <x:c r="D16" s="223"/>
      <x:c r="E16" s="223"/>
      <x:c r="F16" s="292"/>
      <x:c r="G16" s="223"/>
      <x:c r="H16" s="282"/>
      <x:c r="I16" s="293" t="n">
        <x:f>IF(G16="",0,XLOOKUP(G16,'平台参数'!$A$5:$A$9,'平台参数'!$E$5:$E$9,0)+XLOOKUP(G16,'平台参数'!$A$5:$A$9,'平台参数'!$G$5:$G$9,0))</x:f>
        <x:v>0</x:v>
      </x:c>
      <x:c r="J16" s="282" t="n">
        <x:f>IF(G16="",0,XLOOKUP(G16,'平台参数'!$A$5:$A$9,'平台参数'!$H$5:$H$9,0))</x:f>
        <x:v>0</x:v>
      </x:c>
      <x:c r="K16" s="282" t="n">
        <x:f>IF(H16=0,0,H16*(1+I16)+J16)</x:f>
        <x:v>0</x:v>
      </x:c>
      <x:c r="L16" s="292"/>
      <x:c r="M16" s="292"/>
      <x:c r="N16" s="223"/>
      <x:c r="O16" s="282"/>
      <x:c r="P16" s="293" t="n">
        <x:f>IF(N16="",0,XLOOKUP(N16,'平台参数'!$A$5:$A$9,'平台参数'!$F$5:$F$9,0))</x:f>
        <x:v>0</x:v>
      </x:c>
      <x:c r="Q16" s="293" t="n">
        <x:f>IF(N16="",0,XLOOKUP(N16,'平台参数'!$A$5:$A$9,'平台参数'!$G$5:$G$9,0))</x:f>
        <x:v>0</x:v>
      </x:c>
      <x:c r="R16" s="282" t="n">
        <x:f>IF(N16="",0,XLOOKUP(N16,'平台参数'!$A$5:$A$9,'平台参数'!$I$5:$I$9,0))</x:f>
        <x:v>0</x:v>
      </x:c>
      <x:c r="S16" s="282" t="n">
        <x:f>IF(O16=0,0,O16*(1-P16-Q16)-R16)</x:f>
        <x:v>0</x:v>
      </x:c>
      <x:c r="T16" s="282" t="n">
        <x:f>S16-K16</x:f>
        <x:v>0</x:v>
      </x:c>
      <x:c r="U16" s="293" t="n">
        <x:f>IFERROR(T16/K16,0)</x:f>
        <x:v>0</x:v>
      </x:c>
      <x:c r="V16" s="282" t="n">
        <x:f>IF(F16="",0,IF(M16="",TODAY()-F16,M16-F16))</x:f>
        <x:v>0</x:v>
      </x:c>
      <x:c r="W16" s="223"/>
      <x:c r="X16" s="223"/>
      <x:c r="Y16" s="223"/>
      <x:c r="Z16" s="223"/>
    </x:row>
    <x:row r="17">
      <x:c r="A17" s="223"/>
      <x:c r="B17" s="223"/>
      <x:c r="C17" s="223"/>
      <x:c r="D17" s="223"/>
      <x:c r="E17" s="223"/>
      <x:c r="F17" s="292"/>
      <x:c r="G17" s="223"/>
      <x:c r="H17" s="282"/>
      <x:c r="I17" s="293" t="n">
        <x:f>IF(G17="",0,XLOOKUP(G17,'平台参数'!$A$5:$A$9,'平台参数'!$E$5:$E$9,0)+XLOOKUP(G17,'平台参数'!$A$5:$A$9,'平台参数'!$G$5:$G$9,0))</x:f>
        <x:v>0</x:v>
      </x:c>
      <x:c r="J17" s="282" t="n">
        <x:f>IF(G17="",0,XLOOKUP(G17,'平台参数'!$A$5:$A$9,'平台参数'!$H$5:$H$9,0))</x:f>
        <x:v>0</x:v>
      </x:c>
      <x:c r="K17" s="282" t="n">
        <x:f>IF(H17=0,0,H17*(1+I17)+J17)</x:f>
        <x:v>0</x:v>
      </x:c>
      <x:c r="L17" s="292"/>
      <x:c r="M17" s="292"/>
      <x:c r="N17" s="223"/>
      <x:c r="O17" s="282"/>
      <x:c r="P17" s="293" t="n">
        <x:f>IF(N17="",0,XLOOKUP(N17,'平台参数'!$A$5:$A$9,'平台参数'!$F$5:$F$9,0))</x:f>
        <x:v>0</x:v>
      </x:c>
      <x:c r="Q17" s="293" t="n">
        <x:f>IF(N17="",0,XLOOKUP(N17,'平台参数'!$A$5:$A$9,'平台参数'!$G$5:$G$9,0))</x:f>
        <x:v>0</x:v>
      </x:c>
      <x:c r="R17" s="282" t="n">
        <x:f>IF(N17="",0,XLOOKUP(N17,'平台参数'!$A$5:$A$9,'平台参数'!$I$5:$I$9,0))</x:f>
        <x:v>0</x:v>
      </x:c>
      <x:c r="S17" s="282" t="n">
        <x:f>IF(O17=0,0,O17*(1-P17-Q17)-R17)</x:f>
        <x:v>0</x:v>
      </x:c>
      <x:c r="T17" s="282" t="n">
        <x:f>S17-K17</x:f>
        <x:v>0</x:v>
      </x:c>
      <x:c r="U17" s="293" t="n">
        <x:f>IFERROR(T17/K17,0)</x:f>
        <x:v>0</x:v>
      </x:c>
      <x:c r="V17" s="282" t="n">
        <x:f>IF(F17="",0,IF(M17="",TODAY()-F17,M17-F17))</x:f>
        <x:v>0</x:v>
      </x:c>
      <x:c r="W17" s="223"/>
      <x:c r="X17" s="223"/>
      <x:c r="Y17" s="223"/>
      <x:c r="Z17" s="223"/>
    </x:row>
    <x:row r="18">
      <x:c r="A18" s="223"/>
      <x:c r="B18" s="223"/>
      <x:c r="C18" s="223"/>
      <x:c r="D18" s="223"/>
      <x:c r="E18" s="223"/>
      <x:c r="F18" s="292"/>
      <x:c r="G18" s="223"/>
      <x:c r="H18" s="282"/>
      <x:c r="I18" s="293" t="n">
        <x:f>IF(G18="",0,XLOOKUP(G18,'平台参数'!$A$5:$A$9,'平台参数'!$E$5:$E$9,0)+XLOOKUP(G18,'平台参数'!$A$5:$A$9,'平台参数'!$G$5:$G$9,0))</x:f>
        <x:v>0</x:v>
      </x:c>
      <x:c r="J18" s="282" t="n">
        <x:f>IF(G18="",0,XLOOKUP(G18,'平台参数'!$A$5:$A$9,'平台参数'!$H$5:$H$9,0))</x:f>
        <x:v>0</x:v>
      </x:c>
      <x:c r="K18" s="282" t="n">
        <x:f>IF(H18=0,0,H18*(1+I18)+J18)</x:f>
        <x:v>0</x:v>
      </x:c>
      <x:c r="L18" s="292"/>
      <x:c r="M18" s="292"/>
      <x:c r="N18" s="223"/>
      <x:c r="O18" s="282"/>
      <x:c r="P18" s="293" t="n">
        <x:f>IF(N18="",0,XLOOKUP(N18,'平台参数'!$A$5:$A$9,'平台参数'!$F$5:$F$9,0))</x:f>
        <x:v>0</x:v>
      </x:c>
      <x:c r="Q18" s="293" t="n">
        <x:f>IF(N18="",0,XLOOKUP(N18,'平台参数'!$A$5:$A$9,'平台参数'!$G$5:$G$9,0))</x:f>
        <x:v>0</x:v>
      </x:c>
      <x:c r="R18" s="282" t="n">
        <x:f>IF(N18="",0,XLOOKUP(N18,'平台参数'!$A$5:$A$9,'平台参数'!$I$5:$I$9,0))</x:f>
        <x:v>0</x:v>
      </x:c>
      <x:c r="S18" s="282" t="n">
        <x:f>IF(O18=0,0,O18*(1-P18-Q18)-R18)</x:f>
        <x:v>0</x:v>
      </x:c>
      <x:c r="T18" s="282" t="n">
        <x:f>S18-K18</x:f>
        <x:v>0</x:v>
      </x:c>
      <x:c r="U18" s="293" t="n">
        <x:f>IFERROR(T18/K18,0)</x:f>
        <x:v>0</x:v>
      </x:c>
      <x:c r="V18" s="282" t="n">
        <x:f>IF(F18="",0,IF(M18="",TODAY()-F18,M18-F18))</x:f>
        <x:v>0</x:v>
      </x:c>
      <x:c r="W18" s="223"/>
      <x:c r="X18" s="223"/>
      <x:c r="Y18" s="223"/>
      <x:c r="Z18" s="223"/>
    </x:row>
    <x:row r="19">
      <x:c r="A19" s="223"/>
      <x:c r="B19" s="223"/>
      <x:c r="C19" s="223"/>
      <x:c r="D19" s="223"/>
      <x:c r="E19" s="223"/>
      <x:c r="F19" s="292"/>
      <x:c r="G19" s="223"/>
      <x:c r="H19" s="282"/>
      <x:c r="I19" s="293" t="n">
        <x:f>IF(G19="",0,XLOOKUP(G19,'平台参数'!$A$5:$A$9,'平台参数'!$E$5:$E$9,0)+XLOOKUP(G19,'平台参数'!$A$5:$A$9,'平台参数'!$G$5:$G$9,0))</x:f>
        <x:v>0</x:v>
      </x:c>
      <x:c r="J19" s="282" t="n">
        <x:f>IF(G19="",0,XLOOKUP(G19,'平台参数'!$A$5:$A$9,'平台参数'!$H$5:$H$9,0))</x:f>
        <x:v>0</x:v>
      </x:c>
      <x:c r="K19" s="282" t="n">
        <x:f>IF(H19=0,0,H19*(1+I19)+J19)</x:f>
        <x:v>0</x:v>
      </x:c>
      <x:c r="L19" s="292"/>
      <x:c r="M19" s="292"/>
      <x:c r="N19" s="223"/>
      <x:c r="O19" s="282"/>
      <x:c r="P19" s="293" t="n">
        <x:f>IF(N19="",0,XLOOKUP(N19,'平台参数'!$A$5:$A$9,'平台参数'!$F$5:$F$9,0))</x:f>
        <x:v>0</x:v>
      </x:c>
      <x:c r="Q19" s="293" t="n">
        <x:f>IF(N19="",0,XLOOKUP(N19,'平台参数'!$A$5:$A$9,'平台参数'!$G$5:$G$9,0))</x:f>
        <x:v>0</x:v>
      </x:c>
      <x:c r="R19" s="282" t="n">
        <x:f>IF(N19="",0,XLOOKUP(N19,'平台参数'!$A$5:$A$9,'平台参数'!$I$5:$I$9,0))</x:f>
        <x:v>0</x:v>
      </x:c>
      <x:c r="S19" s="282" t="n">
        <x:f>IF(O19=0,0,O19*(1-P19-Q19)-R19)</x:f>
        <x:v>0</x:v>
      </x:c>
      <x:c r="T19" s="282" t="n">
        <x:f>S19-K19</x:f>
        <x:v>0</x:v>
      </x:c>
      <x:c r="U19" s="293" t="n">
        <x:f>IFERROR(T19/K19,0)</x:f>
        <x:v>0</x:v>
      </x:c>
      <x:c r="V19" s="282" t="n">
        <x:f>IF(F19="",0,IF(M19="",TODAY()-F19,M19-F19))</x:f>
        <x:v>0</x:v>
      </x:c>
      <x:c r="W19" s="223"/>
      <x:c r="X19" s="223"/>
      <x:c r="Y19" s="223"/>
      <x:c r="Z19" s="223"/>
    </x:row>
    <x:row r="20">
      <x:c r="A20" s="223"/>
      <x:c r="B20" s="223"/>
      <x:c r="C20" s="223"/>
      <x:c r="D20" s="223"/>
      <x:c r="E20" s="223"/>
      <x:c r="F20" s="292"/>
      <x:c r="G20" s="223"/>
      <x:c r="H20" s="282"/>
      <x:c r="I20" s="293" t="n">
        <x:f>IF(G20="",0,XLOOKUP(G20,'平台参数'!$A$5:$A$9,'平台参数'!$E$5:$E$9,0)+XLOOKUP(G20,'平台参数'!$A$5:$A$9,'平台参数'!$G$5:$G$9,0))</x:f>
        <x:v>0</x:v>
      </x:c>
      <x:c r="J20" s="282" t="n">
        <x:f>IF(G20="",0,XLOOKUP(G20,'平台参数'!$A$5:$A$9,'平台参数'!$H$5:$H$9,0))</x:f>
        <x:v>0</x:v>
      </x:c>
      <x:c r="K20" s="282" t="n">
        <x:f>IF(H20=0,0,H20*(1+I20)+J20)</x:f>
        <x:v>0</x:v>
      </x:c>
      <x:c r="L20" s="292"/>
      <x:c r="M20" s="292"/>
      <x:c r="N20" s="223"/>
      <x:c r="O20" s="282"/>
      <x:c r="P20" s="293" t="n">
        <x:f>IF(N20="",0,XLOOKUP(N20,'平台参数'!$A$5:$A$9,'平台参数'!$F$5:$F$9,0))</x:f>
        <x:v>0</x:v>
      </x:c>
      <x:c r="Q20" s="293" t="n">
        <x:f>IF(N20="",0,XLOOKUP(N20,'平台参数'!$A$5:$A$9,'平台参数'!$G$5:$G$9,0))</x:f>
        <x:v>0</x:v>
      </x:c>
      <x:c r="R20" s="282" t="n">
        <x:f>IF(N20="",0,XLOOKUP(N20,'平台参数'!$A$5:$A$9,'平台参数'!$I$5:$I$9,0))</x:f>
        <x:v>0</x:v>
      </x:c>
      <x:c r="S20" s="282" t="n">
        <x:f>IF(O20=0,0,O20*(1-P20-Q20)-R20)</x:f>
        <x:v>0</x:v>
      </x:c>
      <x:c r="T20" s="282" t="n">
        <x:f>S20-K20</x:f>
        <x:v>0</x:v>
      </x:c>
      <x:c r="U20" s="293" t="n">
        <x:f>IFERROR(T20/K20,0)</x:f>
        <x:v>0</x:v>
      </x:c>
      <x:c r="V20" s="282" t="n">
        <x:f>IF(F20="",0,IF(M20="",TODAY()-F20,M20-F20))</x:f>
        <x:v>0</x:v>
      </x:c>
      <x:c r="W20" s="223"/>
      <x:c r="X20" s="223"/>
      <x:c r="Y20" s="223"/>
      <x:c r="Z20" s="223"/>
    </x:row>
    <x:row r="21">
      <x:c r="A21" s="223"/>
      <x:c r="B21" s="223"/>
      <x:c r="C21" s="223"/>
      <x:c r="D21" s="223"/>
      <x:c r="E21" s="223"/>
      <x:c r="F21" s="292"/>
      <x:c r="G21" s="223"/>
      <x:c r="H21" s="282"/>
      <x:c r="I21" s="293" t="n">
        <x:f>IF(G21="",0,XLOOKUP(G21,'平台参数'!$A$5:$A$9,'平台参数'!$E$5:$E$9,0)+XLOOKUP(G21,'平台参数'!$A$5:$A$9,'平台参数'!$G$5:$G$9,0))</x:f>
        <x:v>0</x:v>
      </x:c>
      <x:c r="J21" s="282" t="n">
        <x:f>IF(G21="",0,XLOOKUP(G21,'平台参数'!$A$5:$A$9,'平台参数'!$H$5:$H$9,0))</x:f>
        <x:v>0</x:v>
      </x:c>
      <x:c r="K21" s="282" t="n">
        <x:f>IF(H21=0,0,H21*(1+I21)+J21)</x:f>
        <x:v>0</x:v>
      </x:c>
      <x:c r="L21" s="292"/>
      <x:c r="M21" s="292"/>
      <x:c r="N21" s="223"/>
      <x:c r="O21" s="282"/>
      <x:c r="P21" s="293" t="n">
        <x:f>IF(N21="",0,XLOOKUP(N21,'平台参数'!$A$5:$A$9,'平台参数'!$F$5:$F$9,0))</x:f>
        <x:v>0</x:v>
      </x:c>
      <x:c r="Q21" s="293" t="n">
        <x:f>IF(N21="",0,XLOOKUP(N21,'平台参数'!$A$5:$A$9,'平台参数'!$G$5:$G$9,0))</x:f>
        <x:v>0</x:v>
      </x:c>
      <x:c r="R21" s="282" t="n">
        <x:f>IF(N21="",0,XLOOKUP(N21,'平台参数'!$A$5:$A$9,'平台参数'!$I$5:$I$9,0))</x:f>
        <x:v>0</x:v>
      </x:c>
      <x:c r="S21" s="282" t="n">
        <x:f>IF(O21=0,0,O21*(1-P21-Q21)-R21)</x:f>
        <x:v>0</x:v>
      </x:c>
      <x:c r="T21" s="282" t="n">
        <x:f>S21-K21</x:f>
        <x:v>0</x:v>
      </x:c>
      <x:c r="U21" s="293" t="n">
        <x:f>IFERROR(T21/K21,0)</x:f>
        <x:v>0</x:v>
      </x:c>
      <x:c r="V21" s="282" t="n">
        <x:f>IF(F21="",0,IF(M21="",TODAY()-F21,M21-F21))</x:f>
        <x:v>0</x:v>
      </x:c>
      <x:c r="W21" s="223"/>
      <x:c r="X21" s="223"/>
      <x:c r="Y21" s="223"/>
      <x:c r="Z21" s="223"/>
    </x:row>
    <x:row r="22">
      <x:c r="A22" s="223"/>
      <x:c r="B22" s="223"/>
      <x:c r="C22" s="223"/>
      <x:c r="D22" s="223"/>
      <x:c r="E22" s="223"/>
      <x:c r="F22" s="292"/>
      <x:c r="G22" s="223"/>
      <x:c r="H22" s="282"/>
      <x:c r="I22" s="293" t="n">
        <x:f>IF(G22="",0,XLOOKUP(G22,'平台参数'!$A$5:$A$9,'平台参数'!$E$5:$E$9,0)+XLOOKUP(G22,'平台参数'!$A$5:$A$9,'平台参数'!$G$5:$G$9,0))</x:f>
        <x:v>0</x:v>
      </x:c>
      <x:c r="J22" s="282" t="n">
        <x:f>IF(G22="",0,XLOOKUP(G22,'平台参数'!$A$5:$A$9,'平台参数'!$H$5:$H$9,0))</x:f>
        <x:v>0</x:v>
      </x:c>
      <x:c r="K22" s="282" t="n">
        <x:f>IF(H22=0,0,H22*(1+I22)+J22)</x:f>
        <x:v>0</x:v>
      </x:c>
      <x:c r="L22" s="292"/>
      <x:c r="M22" s="292"/>
      <x:c r="N22" s="223"/>
      <x:c r="O22" s="282"/>
      <x:c r="P22" s="293" t="n">
        <x:f>IF(N22="",0,XLOOKUP(N22,'平台参数'!$A$5:$A$9,'平台参数'!$F$5:$F$9,0))</x:f>
        <x:v>0</x:v>
      </x:c>
      <x:c r="Q22" s="293" t="n">
        <x:f>IF(N22="",0,XLOOKUP(N22,'平台参数'!$A$5:$A$9,'平台参数'!$G$5:$G$9,0))</x:f>
        <x:v>0</x:v>
      </x:c>
      <x:c r="R22" s="282" t="n">
        <x:f>IF(N22="",0,XLOOKUP(N22,'平台参数'!$A$5:$A$9,'平台参数'!$I$5:$I$9,0))</x:f>
        <x:v>0</x:v>
      </x:c>
      <x:c r="S22" s="282" t="n">
        <x:f>IF(O22=0,0,O22*(1-P22-Q22)-R22)</x:f>
        <x:v>0</x:v>
      </x:c>
      <x:c r="T22" s="282" t="n">
        <x:f>S22-K22</x:f>
        <x:v>0</x:v>
      </x:c>
      <x:c r="U22" s="293" t="n">
        <x:f>IFERROR(T22/K22,0)</x:f>
        <x:v>0</x:v>
      </x:c>
      <x:c r="V22" s="282" t="n">
        <x:f>IF(F22="",0,IF(M22="",TODAY()-F22,M22-F22))</x:f>
        <x:v>0</x:v>
      </x:c>
      <x:c r="W22" s="223"/>
      <x:c r="X22" s="223"/>
      <x:c r="Y22" s="223"/>
      <x:c r="Z22" s="223"/>
    </x:row>
    <x:row r="23">
      <x:c r="A23" s="223"/>
      <x:c r="B23" s="223"/>
      <x:c r="C23" s="223"/>
      <x:c r="D23" s="223"/>
      <x:c r="E23" s="223"/>
      <x:c r="F23" s="292"/>
      <x:c r="G23" s="223"/>
      <x:c r="H23" s="282"/>
      <x:c r="I23" s="293" t="n">
        <x:f>IF(G23="",0,XLOOKUP(G23,'平台参数'!$A$5:$A$9,'平台参数'!$E$5:$E$9,0)+XLOOKUP(G23,'平台参数'!$A$5:$A$9,'平台参数'!$G$5:$G$9,0))</x:f>
        <x:v>0</x:v>
      </x:c>
      <x:c r="J23" s="282" t="n">
        <x:f>IF(G23="",0,XLOOKUP(G23,'平台参数'!$A$5:$A$9,'平台参数'!$H$5:$H$9,0))</x:f>
        <x:v>0</x:v>
      </x:c>
      <x:c r="K23" s="282" t="n">
        <x:f>IF(H23=0,0,H23*(1+I23)+J23)</x:f>
        <x:v>0</x:v>
      </x:c>
      <x:c r="L23" s="292"/>
      <x:c r="M23" s="292"/>
      <x:c r="N23" s="223"/>
      <x:c r="O23" s="282"/>
      <x:c r="P23" s="293" t="n">
        <x:f>IF(N23="",0,XLOOKUP(N23,'平台参数'!$A$5:$A$9,'平台参数'!$F$5:$F$9,0))</x:f>
        <x:v>0</x:v>
      </x:c>
      <x:c r="Q23" s="293" t="n">
        <x:f>IF(N23="",0,XLOOKUP(N23,'平台参数'!$A$5:$A$9,'平台参数'!$G$5:$G$9,0))</x:f>
        <x:v>0</x:v>
      </x:c>
      <x:c r="R23" s="282" t="n">
        <x:f>IF(N23="",0,XLOOKUP(N23,'平台参数'!$A$5:$A$9,'平台参数'!$I$5:$I$9,0))</x:f>
        <x:v>0</x:v>
      </x:c>
      <x:c r="S23" s="282" t="n">
        <x:f>IF(O23=0,0,O23*(1-P23-Q23)-R23)</x:f>
        <x:v>0</x:v>
      </x:c>
      <x:c r="T23" s="282" t="n">
        <x:f>S23-K23</x:f>
        <x:v>0</x:v>
      </x:c>
      <x:c r="U23" s="293" t="n">
        <x:f>IFERROR(T23/K23,0)</x:f>
        <x:v>0</x:v>
      </x:c>
      <x:c r="V23" s="282" t="n">
        <x:f>IF(F23="",0,IF(M23="",TODAY()-F23,M23-F23))</x:f>
        <x:v>0</x:v>
      </x:c>
      <x:c r="W23" s="223"/>
      <x:c r="X23" s="223"/>
      <x:c r="Y23" s="223"/>
      <x:c r="Z23" s="223"/>
    </x:row>
    <x:row r="24">
      <x:c r="A24" s="223"/>
      <x:c r="B24" s="223"/>
      <x:c r="C24" s="223"/>
      <x:c r="D24" s="223"/>
      <x:c r="E24" s="223"/>
      <x:c r="F24" s="292"/>
      <x:c r="G24" s="223"/>
      <x:c r="H24" s="282"/>
      <x:c r="I24" s="293" t="n">
        <x:f>IF(G24="",0,XLOOKUP(G24,'平台参数'!$A$5:$A$9,'平台参数'!$E$5:$E$9,0)+XLOOKUP(G24,'平台参数'!$A$5:$A$9,'平台参数'!$G$5:$G$9,0))</x:f>
        <x:v>0</x:v>
      </x:c>
      <x:c r="J24" s="282" t="n">
        <x:f>IF(G24="",0,XLOOKUP(G24,'平台参数'!$A$5:$A$9,'平台参数'!$H$5:$H$9,0))</x:f>
        <x:v>0</x:v>
      </x:c>
      <x:c r="K24" s="282" t="n">
        <x:f>IF(H24=0,0,H24*(1+I24)+J24)</x:f>
        <x:v>0</x:v>
      </x:c>
      <x:c r="L24" s="292"/>
      <x:c r="M24" s="292"/>
      <x:c r="N24" s="223"/>
      <x:c r="O24" s="282"/>
      <x:c r="P24" s="293" t="n">
        <x:f>IF(N24="",0,XLOOKUP(N24,'平台参数'!$A$5:$A$9,'平台参数'!$F$5:$F$9,0))</x:f>
        <x:v>0</x:v>
      </x:c>
      <x:c r="Q24" s="293" t="n">
        <x:f>IF(N24="",0,XLOOKUP(N24,'平台参数'!$A$5:$A$9,'平台参数'!$G$5:$G$9,0))</x:f>
        <x:v>0</x:v>
      </x:c>
      <x:c r="R24" s="282" t="n">
        <x:f>IF(N24="",0,XLOOKUP(N24,'平台参数'!$A$5:$A$9,'平台参数'!$I$5:$I$9,0))</x:f>
        <x:v>0</x:v>
      </x:c>
      <x:c r="S24" s="282" t="n">
        <x:f>IF(O24=0,0,O24*(1-P24-Q24)-R24)</x:f>
        <x:v>0</x:v>
      </x:c>
      <x:c r="T24" s="282" t="n">
        <x:f>S24-K24</x:f>
        <x:v>0</x:v>
      </x:c>
      <x:c r="U24" s="293" t="n">
        <x:f>IFERROR(T24/K24,0)</x:f>
        <x:v>0</x:v>
      </x:c>
      <x:c r="V24" s="282" t="n">
        <x:f>IF(F24="",0,IF(M24="",TODAY()-F24,M24-F24))</x:f>
        <x:v>0</x:v>
      </x:c>
      <x:c r="W24" s="223"/>
      <x:c r="X24" s="223"/>
      <x:c r="Y24" s="223"/>
      <x:c r="Z24" s="223"/>
    </x:row>
    <x:row r="25">
      <x:c r="A25" s="223"/>
      <x:c r="B25" s="223"/>
      <x:c r="C25" s="223"/>
      <x:c r="D25" s="223"/>
      <x:c r="E25" s="223"/>
      <x:c r="F25" s="292"/>
      <x:c r="G25" s="223"/>
      <x:c r="H25" s="282"/>
      <x:c r="I25" s="293" t="n">
        <x:f>IF(G25="",0,XLOOKUP(G25,'平台参数'!$A$5:$A$9,'平台参数'!$E$5:$E$9,0)+XLOOKUP(G25,'平台参数'!$A$5:$A$9,'平台参数'!$G$5:$G$9,0))</x:f>
        <x:v>0</x:v>
      </x:c>
      <x:c r="J25" s="282" t="n">
        <x:f>IF(G25="",0,XLOOKUP(G25,'平台参数'!$A$5:$A$9,'平台参数'!$H$5:$H$9,0))</x:f>
        <x:v>0</x:v>
      </x:c>
      <x:c r="K25" s="282" t="n">
        <x:f>IF(H25=0,0,H25*(1+I25)+J25)</x:f>
        <x:v>0</x:v>
      </x:c>
      <x:c r="L25" s="292"/>
      <x:c r="M25" s="292"/>
      <x:c r="N25" s="223"/>
      <x:c r="O25" s="282"/>
      <x:c r="P25" s="293" t="n">
        <x:f>IF(N25="",0,XLOOKUP(N25,'平台参数'!$A$5:$A$9,'平台参数'!$F$5:$F$9,0))</x:f>
        <x:v>0</x:v>
      </x:c>
      <x:c r="Q25" s="293" t="n">
        <x:f>IF(N25="",0,XLOOKUP(N25,'平台参数'!$A$5:$A$9,'平台参数'!$G$5:$G$9,0))</x:f>
        <x:v>0</x:v>
      </x:c>
      <x:c r="R25" s="282" t="n">
        <x:f>IF(N25="",0,XLOOKUP(N25,'平台参数'!$A$5:$A$9,'平台参数'!$I$5:$I$9,0))</x:f>
        <x:v>0</x:v>
      </x:c>
      <x:c r="S25" s="282" t="n">
        <x:f>IF(O25=0,0,O25*(1-P25-Q25)-R25)</x:f>
        <x:v>0</x:v>
      </x:c>
      <x:c r="T25" s="282" t="n">
        <x:f>S25-K25</x:f>
        <x:v>0</x:v>
      </x:c>
      <x:c r="U25" s="293" t="n">
        <x:f>IFERROR(T25/K25,0)</x:f>
        <x:v>0</x:v>
      </x:c>
      <x:c r="V25" s="282" t="n">
        <x:f>IF(F25="",0,IF(M25="",TODAY()-F25,M25-F25))</x:f>
        <x:v>0</x:v>
      </x:c>
      <x:c r="W25" s="223"/>
      <x:c r="X25" s="223"/>
      <x:c r="Y25" s="223"/>
      <x:c r="Z25" s="223"/>
    </x:row>
    <x:row r="26">
      <x:c r="A26" s="223"/>
      <x:c r="B26" s="223"/>
      <x:c r="C26" s="223"/>
      <x:c r="D26" s="223"/>
      <x:c r="E26" s="223"/>
      <x:c r="F26" s="292"/>
      <x:c r="G26" s="223"/>
      <x:c r="H26" s="282"/>
      <x:c r="I26" s="293" t="n">
        <x:f>IF(G26="",0,XLOOKUP(G26,'平台参数'!$A$5:$A$9,'平台参数'!$E$5:$E$9,0)+XLOOKUP(G26,'平台参数'!$A$5:$A$9,'平台参数'!$G$5:$G$9,0))</x:f>
        <x:v>0</x:v>
      </x:c>
      <x:c r="J26" s="282" t="n">
        <x:f>IF(G26="",0,XLOOKUP(G26,'平台参数'!$A$5:$A$9,'平台参数'!$H$5:$H$9,0))</x:f>
        <x:v>0</x:v>
      </x:c>
      <x:c r="K26" s="282" t="n">
        <x:f>IF(H26=0,0,H26*(1+I26)+J26)</x:f>
        <x:v>0</x:v>
      </x:c>
      <x:c r="L26" s="292"/>
      <x:c r="M26" s="292"/>
      <x:c r="N26" s="223"/>
      <x:c r="O26" s="282"/>
      <x:c r="P26" s="293" t="n">
        <x:f>IF(N26="",0,XLOOKUP(N26,'平台参数'!$A$5:$A$9,'平台参数'!$F$5:$F$9,0))</x:f>
        <x:v>0</x:v>
      </x:c>
      <x:c r="Q26" s="293" t="n">
        <x:f>IF(N26="",0,XLOOKUP(N26,'平台参数'!$A$5:$A$9,'平台参数'!$G$5:$G$9,0))</x:f>
        <x:v>0</x:v>
      </x:c>
      <x:c r="R26" s="282" t="n">
        <x:f>IF(N26="",0,XLOOKUP(N26,'平台参数'!$A$5:$A$9,'平台参数'!$I$5:$I$9,0))</x:f>
        <x:v>0</x:v>
      </x:c>
      <x:c r="S26" s="282" t="n">
        <x:f>IF(O26=0,0,O26*(1-P26-Q26)-R26)</x:f>
        <x:v>0</x:v>
      </x:c>
      <x:c r="T26" s="282" t="n">
        <x:f>S26-K26</x:f>
        <x:v>0</x:v>
      </x:c>
      <x:c r="U26" s="293" t="n">
        <x:f>IFERROR(T26/K26,0)</x:f>
        <x:v>0</x:v>
      </x:c>
      <x:c r="V26" s="282" t="n">
        <x:f>IF(F26="",0,IF(M26="",TODAY()-F26,M26-F26))</x:f>
        <x:v>0</x:v>
      </x:c>
      <x:c r="W26" s="223"/>
      <x:c r="X26" s="223"/>
      <x:c r="Y26" s="223"/>
      <x:c r="Z26" s="223"/>
    </x:row>
    <x:row r="27">
      <x:c r="A27" s="223"/>
      <x:c r="B27" s="223"/>
      <x:c r="C27" s="223"/>
      <x:c r="D27" s="223"/>
      <x:c r="E27" s="223"/>
      <x:c r="F27" s="292"/>
      <x:c r="G27" s="223"/>
      <x:c r="H27" s="282"/>
      <x:c r="I27" s="293" t="n">
        <x:f>IF(G27="",0,XLOOKUP(G27,'平台参数'!$A$5:$A$9,'平台参数'!$E$5:$E$9,0)+XLOOKUP(G27,'平台参数'!$A$5:$A$9,'平台参数'!$G$5:$G$9,0))</x:f>
        <x:v>0</x:v>
      </x:c>
      <x:c r="J27" s="282" t="n">
        <x:f>IF(G27="",0,XLOOKUP(G27,'平台参数'!$A$5:$A$9,'平台参数'!$H$5:$H$9,0))</x:f>
        <x:v>0</x:v>
      </x:c>
      <x:c r="K27" s="282" t="n">
        <x:f>IF(H27=0,0,H27*(1+I27)+J27)</x:f>
        <x:v>0</x:v>
      </x:c>
      <x:c r="L27" s="292"/>
      <x:c r="M27" s="292"/>
      <x:c r="N27" s="223"/>
      <x:c r="O27" s="282"/>
      <x:c r="P27" s="293" t="n">
        <x:f>IF(N27="",0,XLOOKUP(N27,'平台参数'!$A$5:$A$9,'平台参数'!$F$5:$F$9,0))</x:f>
        <x:v>0</x:v>
      </x:c>
      <x:c r="Q27" s="293" t="n">
        <x:f>IF(N27="",0,XLOOKUP(N27,'平台参数'!$A$5:$A$9,'平台参数'!$G$5:$G$9,0))</x:f>
        <x:v>0</x:v>
      </x:c>
      <x:c r="R27" s="282" t="n">
        <x:f>IF(N27="",0,XLOOKUP(N27,'平台参数'!$A$5:$A$9,'平台参数'!$I$5:$I$9,0))</x:f>
        <x:v>0</x:v>
      </x:c>
      <x:c r="S27" s="282" t="n">
        <x:f>IF(O27=0,0,O27*(1-P27-Q27)-R27)</x:f>
        <x:v>0</x:v>
      </x:c>
      <x:c r="T27" s="282" t="n">
        <x:f>S27-K27</x:f>
        <x:v>0</x:v>
      </x:c>
      <x:c r="U27" s="293" t="n">
        <x:f>IFERROR(T27/K27,0)</x:f>
        <x:v>0</x:v>
      </x:c>
      <x:c r="V27" s="282" t="n">
        <x:f>IF(F27="",0,IF(M27="",TODAY()-F27,M27-F27))</x:f>
        <x:v>0</x:v>
      </x:c>
      <x:c r="W27" s="223"/>
      <x:c r="X27" s="223"/>
      <x:c r="Y27" s="223"/>
      <x:c r="Z27" s="223"/>
    </x:row>
    <x:row r="28">
      <x:c r="A28" s="223"/>
      <x:c r="B28" s="223"/>
      <x:c r="C28" s="223"/>
      <x:c r="D28" s="223"/>
      <x:c r="E28" s="223"/>
      <x:c r="F28" s="292"/>
      <x:c r="G28" s="223"/>
      <x:c r="H28" s="282"/>
      <x:c r="I28" s="293" t="n">
        <x:f>IF(G28="",0,XLOOKUP(G28,'平台参数'!$A$5:$A$9,'平台参数'!$E$5:$E$9,0)+XLOOKUP(G28,'平台参数'!$A$5:$A$9,'平台参数'!$G$5:$G$9,0))</x:f>
        <x:v>0</x:v>
      </x:c>
      <x:c r="J28" s="282" t="n">
        <x:f>IF(G28="",0,XLOOKUP(G28,'平台参数'!$A$5:$A$9,'平台参数'!$H$5:$H$9,0))</x:f>
        <x:v>0</x:v>
      </x:c>
      <x:c r="K28" s="282" t="n">
        <x:f>IF(H28=0,0,H28*(1+I28)+J28)</x:f>
        <x:v>0</x:v>
      </x:c>
      <x:c r="L28" s="292"/>
      <x:c r="M28" s="292"/>
      <x:c r="N28" s="223"/>
      <x:c r="O28" s="282"/>
      <x:c r="P28" s="293" t="n">
        <x:f>IF(N28="",0,XLOOKUP(N28,'平台参数'!$A$5:$A$9,'平台参数'!$F$5:$F$9,0))</x:f>
        <x:v>0</x:v>
      </x:c>
      <x:c r="Q28" s="293" t="n">
        <x:f>IF(N28="",0,XLOOKUP(N28,'平台参数'!$A$5:$A$9,'平台参数'!$G$5:$G$9,0))</x:f>
        <x:v>0</x:v>
      </x:c>
      <x:c r="R28" s="282" t="n">
        <x:f>IF(N28="",0,XLOOKUP(N28,'平台参数'!$A$5:$A$9,'平台参数'!$I$5:$I$9,0))</x:f>
        <x:v>0</x:v>
      </x:c>
      <x:c r="S28" s="282" t="n">
        <x:f>IF(O28=0,0,O28*(1-P28-Q28)-R28)</x:f>
        <x:v>0</x:v>
      </x:c>
      <x:c r="T28" s="282" t="n">
        <x:f>S28-K28</x:f>
        <x:v>0</x:v>
      </x:c>
      <x:c r="U28" s="293" t="n">
        <x:f>IFERROR(T28/K28,0)</x:f>
        <x:v>0</x:v>
      </x:c>
      <x:c r="V28" s="282" t="n">
        <x:f>IF(F28="",0,IF(M28="",TODAY()-F28,M28-F28))</x:f>
        <x:v>0</x:v>
      </x:c>
      <x:c r="W28" s="223"/>
      <x:c r="X28" s="223"/>
      <x:c r="Y28" s="223"/>
      <x:c r="Z28" s="223"/>
    </x:row>
    <x:row r="29">
      <x:c r="A29" s="223"/>
      <x:c r="B29" s="223"/>
      <x:c r="C29" s="223"/>
      <x:c r="D29" s="223"/>
      <x:c r="E29" s="223"/>
      <x:c r="F29" s="292"/>
      <x:c r="G29" s="223"/>
      <x:c r="H29" s="282"/>
      <x:c r="I29" s="293" t="n">
        <x:f>IF(G29="",0,XLOOKUP(G29,'平台参数'!$A$5:$A$9,'平台参数'!$E$5:$E$9,0)+XLOOKUP(G29,'平台参数'!$A$5:$A$9,'平台参数'!$G$5:$G$9,0))</x:f>
        <x:v>0</x:v>
      </x:c>
      <x:c r="J29" s="282" t="n">
        <x:f>IF(G29="",0,XLOOKUP(G29,'平台参数'!$A$5:$A$9,'平台参数'!$H$5:$H$9,0))</x:f>
        <x:v>0</x:v>
      </x:c>
      <x:c r="K29" s="282" t="n">
        <x:f>IF(H29=0,0,H29*(1+I29)+J29)</x:f>
        <x:v>0</x:v>
      </x:c>
      <x:c r="L29" s="292"/>
      <x:c r="M29" s="292"/>
      <x:c r="N29" s="223"/>
      <x:c r="O29" s="282"/>
      <x:c r="P29" s="293" t="n">
        <x:f>IF(N29="",0,XLOOKUP(N29,'平台参数'!$A$5:$A$9,'平台参数'!$F$5:$F$9,0))</x:f>
        <x:v>0</x:v>
      </x:c>
      <x:c r="Q29" s="293" t="n">
        <x:f>IF(N29="",0,XLOOKUP(N29,'平台参数'!$A$5:$A$9,'平台参数'!$G$5:$G$9,0))</x:f>
        <x:v>0</x:v>
      </x:c>
      <x:c r="R29" s="282" t="n">
        <x:f>IF(N29="",0,XLOOKUP(N29,'平台参数'!$A$5:$A$9,'平台参数'!$I$5:$I$9,0))</x:f>
        <x:v>0</x:v>
      </x:c>
      <x:c r="S29" s="282" t="n">
        <x:f>IF(O29=0,0,O29*(1-P29-Q29)-R29)</x:f>
        <x:v>0</x:v>
      </x:c>
      <x:c r="T29" s="282" t="n">
        <x:f>S29-K29</x:f>
        <x:v>0</x:v>
      </x:c>
      <x:c r="U29" s="293" t="n">
        <x:f>IFERROR(T29/K29,0)</x:f>
        <x:v>0</x:v>
      </x:c>
      <x:c r="V29" s="282" t="n">
        <x:f>IF(F29="",0,IF(M29="",TODAY()-F29,M29-F29))</x:f>
        <x:v>0</x:v>
      </x:c>
      <x:c r="W29" s="223"/>
      <x:c r="X29" s="223"/>
      <x:c r="Y29" s="223"/>
      <x:c r="Z29" s="223"/>
    </x:row>
    <x:row r="30">
      <x:c r="A30" s="223"/>
      <x:c r="B30" s="223"/>
      <x:c r="C30" s="223"/>
      <x:c r="D30" s="223"/>
      <x:c r="E30" s="223"/>
      <x:c r="F30" s="292"/>
      <x:c r="G30" s="223"/>
      <x:c r="H30" s="282"/>
      <x:c r="I30" s="293" t="n">
        <x:f>IF(G30="",0,XLOOKUP(G30,'平台参数'!$A$5:$A$9,'平台参数'!$E$5:$E$9,0)+XLOOKUP(G30,'平台参数'!$A$5:$A$9,'平台参数'!$G$5:$G$9,0))</x:f>
        <x:v>0</x:v>
      </x:c>
      <x:c r="J30" s="282" t="n">
        <x:f>IF(G30="",0,XLOOKUP(G30,'平台参数'!$A$5:$A$9,'平台参数'!$H$5:$H$9,0))</x:f>
        <x:v>0</x:v>
      </x:c>
      <x:c r="K30" s="282" t="n">
        <x:f>IF(H30=0,0,H30*(1+I30)+J30)</x:f>
        <x:v>0</x:v>
      </x:c>
      <x:c r="L30" s="292"/>
      <x:c r="M30" s="292"/>
      <x:c r="N30" s="223"/>
      <x:c r="O30" s="282"/>
      <x:c r="P30" s="293" t="n">
        <x:f>IF(N30="",0,XLOOKUP(N30,'平台参数'!$A$5:$A$9,'平台参数'!$F$5:$F$9,0))</x:f>
        <x:v>0</x:v>
      </x:c>
      <x:c r="Q30" s="293" t="n">
        <x:f>IF(N30="",0,XLOOKUP(N30,'平台参数'!$A$5:$A$9,'平台参数'!$G$5:$G$9,0))</x:f>
        <x:v>0</x:v>
      </x:c>
      <x:c r="R30" s="282" t="n">
        <x:f>IF(N30="",0,XLOOKUP(N30,'平台参数'!$A$5:$A$9,'平台参数'!$I$5:$I$9,0))</x:f>
        <x:v>0</x:v>
      </x:c>
      <x:c r="S30" s="282" t="n">
        <x:f>IF(O30=0,0,O30*(1-P30-Q30)-R30)</x:f>
        <x:v>0</x:v>
      </x:c>
      <x:c r="T30" s="282" t="n">
        <x:f>S30-K30</x:f>
        <x:v>0</x:v>
      </x:c>
      <x:c r="U30" s="293" t="n">
        <x:f>IFERROR(T30/K30,0)</x:f>
        <x:v>0</x:v>
      </x:c>
      <x:c r="V30" s="282" t="n">
        <x:f>IF(F30="",0,IF(M30="",TODAY()-F30,M30-F30))</x:f>
        <x:v>0</x:v>
      </x:c>
      <x:c r="W30" s="223"/>
      <x:c r="X30" s="223"/>
      <x:c r="Y30" s="223"/>
      <x:c r="Z30" s="223"/>
    </x:row>
    <x:row r="31">
      <x:c r="A31" s="223"/>
      <x:c r="B31" s="223"/>
      <x:c r="C31" s="223"/>
      <x:c r="D31" s="223"/>
      <x:c r="E31" s="223"/>
      <x:c r="F31" s="292"/>
      <x:c r="G31" s="223"/>
      <x:c r="H31" s="282"/>
      <x:c r="I31" s="293" t="n">
        <x:f>IF(G31="",0,XLOOKUP(G31,'平台参数'!$A$5:$A$9,'平台参数'!$E$5:$E$9,0)+XLOOKUP(G31,'平台参数'!$A$5:$A$9,'平台参数'!$G$5:$G$9,0))</x:f>
        <x:v>0</x:v>
      </x:c>
      <x:c r="J31" s="282" t="n">
        <x:f>IF(G31="",0,XLOOKUP(G31,'平台参数'!$A$5:$A$9,'平台参数'!$H$5:$H$9,0))</x:f>
        <x:v>0</x:v>
      </x:c>
      <x:c r="K31" s="282" t="n">
        <x:f>IF(H31=0,0,H31*(1+I31)+J31)</x:f>
        <x:v>0</x:v>
      </x:c>
      <x:c r="L31" s="292"/>
      <x:c r="M31" s="292"/>
      <x:c r="N31" s="223"/>
      <x:c r="O31" s="282"/>
      <x:c r="P31" s="293" t="n">
        <x:f>IF(N31="",0,XLOOKUP(N31,'平台参数'!$A$5:$A$9,'平台参数'!$F$5:$F$9,0))</x:f>
        <x:v>0</x:v>
      </x:c>
      <x:c r="Q31" s="293" t="n">
        <x:f>IF(N31="",0,XLOOKUP(N31,'平台参数'!$A$5:$A$9,'平台参数'!$G$5:$G$9,0))</x:f>
        <x:v>0</x:v>
      </x:c>
      <x:c r="R31" s="282" t="n">
        <x:f>IF(N31="",0,XLOOKUP(N31,'平台参数'!$A$5:$A$9,'平台参数'!$I$5:$I$9,0))</x:f>
        <x:v>0</x:v>
      </x:c>
      <x:c r="S31" s="282" t="n">
        <x:f>IF(O31=0,0,O31*(1-P31-Q31)-R31)</x:f>
        <x:v>0</x:v>
      </x:c>
      <x:c r="T31" s="282" t="n">
        <x:f>S31-K31</x:f>
        <x:v>0</x:v>
      </x:c>
      <x:c r="U31" s="293" t="n">
        <x:f>IFERROR(T31/K31,0)</x:f>
        <x:v>0</x:v>
      </x:c>
      <x:c r="V31" s="282" t="n">
        <x:f>IF(F31="",0,IF(M31="",TODAY()-F31,M31-F31))</x:f>
        <x:v>0</x:v>
      </x:c>
      <x:c r="W31" s="223"/>
      <x:c r="X31" s="223"/>
      <x:c r="Y31" s="223"/>
      <x:c r="Z31" s="223"/>
    </x:row>
    <x:row r="32">
      <x:c r="A32" s="223"/>
      <x:c r="B32" s="223"/>
      <x:c r="C32" s="223"/>
      <x:c r="D32" s="223"/>
      <x:c r="E32" s="223"/>
      <x:c r="F32" s="292"/>
      <x:c r="G32" s="223"/>
      <x:c r="H32" s="282"/>
      <x:c r="I32" s="293" t="n">
        <x:f>IF(G32="",0,XLOOKUP(G32,'平台参数'!$A$5:$A$9,'平台参数'!$E$5:$E$9,0)+XLOOKUP(G32,'平台参数'!$A$5:$A$9,'平台参数'!$G$5:$G$9,0))</x:f>
        <x:v>0</x:v>
      </x:c>
      <x:c r="J32" s="282" t="n">
        <x:f>IF(G32="",0,XLOOKUP(G32,'平台参数'!$A$5:$A$9,'平台参数'!$H$5:$H$9,0))</x:f>
        <x:v>0</x:v>
      </x:c>
      <x:c r="K32" s="282" t="n">
        <x:f>IF(H32=0,0,H32*(1+I32)+J32)</x:f>
        <x:v>0</x:v>
      </x:c>
      <x:c r="L32" s="292"/>
      <x:c r="M32" s="292"/>
      <x:c r="N32" s="223"/>
      <x:c r="O32" s="282"/>
      <x:c r="P32" s="293" t="n">
        <x:f>IF(N32="",0,XLOOKUP(N32,'平台参数'!$A$5:$A$9,'平台参数'!$F$5:$F$9,0))</x:f>
        <x:v>0</x:v>
      </x:c>
      <x:c r="Q32" s="293" t="n">
        <x:f>IF(N32="",0,XLOOKUP(N32,'平台参数'!$A$5:$A$9,'平台参数'!$G$5:$G$9,0))</x:f>
        <x:v>0</x:v>
      </x:c>
      <x:c r="R32" s="282" t="n">
        <x:f>IF(N32="",0,XLOOKUP(N32,'平台参数'!$A$5:$A$9,'平台参数'!$I$5:$I$9,0))</x:f>
        <x:v>0</x:v>
      </x:c>
      <x:c r="S32" s="282" t="n">
        <x:f>IF(O32=0,0,O32*(1-P32-Q32)-R32)</x:f>
        <x:v>0</x:v>
      </x:c>
      <x:c r="T32" s="282" t="n">
        <x:f>S32-K32</x:f>
        <x:v>0</x:v>
      </x:c>
      <x:c r="U32" s="293" t="n">
        <x:f>IFERROR(T32/K32,0)</x:f>
        <x:v>0</x:v>
      </x:c>
      <x:c r="V32" s="282" t="n">
        <x:f>IF(F32="",0,IF(M32="",TODAY()-F32,M32-F32))</x:f>
        <x:v>0</x:v>
      </x:c>
      <x:c r="W32" s="223"/>
      <x:c r="X32" s="223"/>
      <x:c r="Y32" s="223"/>
      <x:c r="Z32" s="223"/>
    </x:row>
    <x:row r="33">
      <x:c r="A33" s="223"/>
      <x:c r="B33" s="223"/>
      <x:c r="C33" s="223"/>
      <x:c r="D33" s="223"/>
      <x:c r="E33" s="223"/>
      <x:c r="F33" s="292"/>
      <x:c r="G33" s="223"/>
      <x:c r="H33" s="282"/>
      <x:c r="I33" s="293" t="n">
        <x:f>IF(G33="",0,XLOOKUP(G33,'平台参数'!$A$5:$A$9,'平台参数'!$E$5:$E$9,0)+XLOOKUP(G33,'平台参数'!$A$5:$A$9,'平台参数'!$G$5:$G$9,0))</x:f>
        <x:v>0</x:v>
      </x:c>
      <x:c r="J33" s="282" t="n">
        <x:f>IF(G33="",0,XLOOKUP(G33,'平台参数'!$A$5:$A$9,'平台参数'!$H$5:$H$9,0))</x:f>
        <x:v>0</x:v>
      </x:c>
      <x:c r="K33" s="282" t="n">
        <x:f>IF(H33=0,0,H33*(1+I33)+J33)</x:f>
        <x:v>0</x:v>
      </x:c>
      <x:c r="L33" s="292"/>
      <x:c r="M33" s="292"/>
      <x:c r="N33" s="223"/>
      <x:c r="O33" s="282"/>
      <x:c r="P33" s="293" t="n">
        <x:f>IF(N33="",0,XLOOKUP(N33,'平台参数'!$A$5:$A$9,'平台参数'!$F$5:$F$9,0))</x:f>
        <x:v>0</x:v>
      </x:c>
      <x:c r="Q33" s="293" t="n">
        <x:f>IF(N33="",0,XLOOKUP(N33,'平台参数'!$A$5:$A$9,'平台参数'!$G$5:$G$9,0))</x:f>
        <x:v>0</x:v>
      </x:c>
      <x:c r="R33" s="282" t="n">
        <x:f>IF(N33="",0,XLOOKUP(N33,'平台参数'!$A$5:$A$9,'平台参数'!$I$5:$I$9,0))</x:f>
        <x:v>0</x:v>
      </x:c>
      <x:c r="S33" s="282" t="n">
        <x:f>IF(O33=0,0,O33*(1-P33-Q33)-R33)</x:f>
        <x:v>0</x:v>
      </x:c>
      <x:c r="T33" s="282" t="n">
        <x:f>S33-K33</x:f>
        <x:v>0</x:v>
      </x:c>
      <x:c r="U33" s="293" t="n">
        <x:f>IFERROR(T33/K33,0)</x:f>
        <x:v>0</x:v>
      </x:c>
      <x:c r="V33" s="282" t="n">
        <x:f>IF(F33="",0,IF(M33="",TODAY()-F33,M33-F33))</x:f>
        <x:v>0</x:v>
      </x:c>
      <x:c r="W33" s="223"/>
      <x:c r="X33" s="223"/>
      <x:c r="Y33" s="223"/>
      <x:c r="Z33" s="223"/>
    </x:row>
    <x:row r="34">
      <x:c r="A34" s="223"/>
      <x:c r="B34" s="223"/>
      <x:c r="C34" s="223"/>
      <x:c r="D34" s="223"/>
      <x:c r="E34" s="223"/>
      <x:c r="F34" s="292"/>
      <x:c r="G34" s="223"/>
      <x:c r="H34" s="282"/>
      <x:c r="I34" s="293" t="n">
        <x:f>IF(G34="",0,XLOOKUP(G34,'平台参数'!$A$5:$A$9,'平台参数'!$E$5:$E$9,0)+XLOOKUP(G34,'平台参数'!$A$5:$A$9,'平台参数'!$G$5:$G$9,0))</x:f>
        <x:v>0</x:v>
      </x:c>
      <x:c r="J34" s="282" t="n">
        <x:f>IF(G34="",0,XLOOKUP(G34,'平台参数'!$A$5:$A$9,'平台参数'!$H$5:$H$9,0))</x:f>
        <x:v>0</x:v>
      </x:c>
      <x:c r="K34" s="282" t="n">
        <x:f>IF(H34=0,0,H34*(1+I34)+J34)</x:f>
        <x:v>0</x:v>
      </x:c>
      <x:c r="L34" s="292"/>
      <x:c r="M34" s="292"/>
      <x:c r="N34" s="223"/>
      <x:c r="O34" s="282"/>
      <x:c r="P34" s="293" t="n">
        <x:f>IF(N34="",0,XLOOKUP(N34,'平台参数'!$A$5:$A$9,'平台参数'!$F$5:$F$9,0))</x:f>
        <x:v>0</x:v>
      </x:c>
      <x:c r="Q34" s="293" t="n">
        <x:f>IF(N34="",0,XLOOKUP(N34,'平台参数'!$A$5:$A$9,'平台参数'!$G$5:$G$9,0))</x:f>
        <x:v>0</x:v>
      </x:c>
      <x:c r="R34" s="282" t="n">
        <x:f>IF(N34="",0,XLOOKUP(N34,'平台参数'!$A$5:$A$9,'平台参数'!$I$5:$I$9,0))</x:f>
        <x:v>0</x:v>
      </x:c>
      <x:c r="S34" s="282" t="n">
        <x:f>IF(O34=0,0,O34*(1-P34-Q34)-R34)</x:f>
        <x:v>0</x:v>
      </x:c>
      <x:c r="T34" s="282" t="n">
        <x:f>S34-K34</x:f>
        <x:v>0</x:v>
      </x:c>
      <x:c r="U34" s="293" t="n">
        <x:f>IFERROR(T34/K34,0)</x:f>
        <x:v>0</x:v>
      </x:c>
      <x:c r="V34" s="282" t="n">
        <x:f>IF(F34="",0,IF(M34="",TODAY()-F34,M34-F34))</x:f>
        <x:v>0</x:v>
      </x:c>
      <x:c r="W34" s="223"/>
      <x:c r="X34" s="223"/>
      <x:c r="Y34" s="223"/>
      <x:c r="Z34" s="223"/>
    </x:row>
    <x:row r="35">
      <x:c r="A35" s="223"/>
      <x:c r="B35" s="223"/>
      <x:c r="C35" s="223"/>
      <x:c r="D35" s="223"/>
      <x:c r="E35" s="223"/>
      <x:c r="F35" s="292"/>
      <x:c r="G35" s="223"/>
      <x:c r="H35" s="282"/>
      <x:c r="I35" s="293" t="n">
        <x:f>IF(G35="",0,XLOOKUP(G35,'平台参数'!$A$5:$A$9,'平台参数'!$E$5:$E$9,0)+XLOOKUP(G35,'平台参数'!$A$5:$A$9,'平台参数'!$G$5:$G$9,0))</x:f>
        <x:v>0</x:v>
      </x:c>
      <x:c r="J35" s="282" t="n">
        <x:f>IF(G35="",0,XLOOKUP(G35,'平台参数'!$A$5:$A$9,'平台参数'!$H$5:$H$9,0))</x:f>
        <x:v>0</x:v>
      </x:c>
      <x:c r="K35" s="282" t="n">
        <x:f>IF(H35=0,0,H35*(1+I35)+J35)</x:f>
        <x:v>0</x:v>
      </x:c>
      <x:c r="L35" s="292"/>
      <x:c r="M35" s="292"/>
      <x:c r="N35" s="223"/>
      <x:c r="O35" s="282"/>
      <x:c r="P35" s="293" t="n">
        <x:f>IF(N35="",0,XLOOKUP(N35,'平台参数'!$A$5:$A$9,'平台参数'!$F$5:$F$9,0))</x:f>
        <x:v>0</x:v>
      </x:c>
      <x:c r="Q35" s="293" t="n">
        <x:f>IF(N35="",0,XLOOKUP(N35,'平台参数'!$A$5:$A$9,'平台参数'!$G$5:$G$9,0))</x:f>
        <x:v>0</x:v>
      </x:c>
      <x:c r="R35" s="282" t="n">
        <x:f>IF(N35="",0,XLOOKUP(N35,'平台参数'!$A$5:$A$9,'平台参数'!$I$5:$I$9,0))</x:f>
        <x:v>0</x:v>
      </x:c>
      <x:c r="S35" s="282" t="n">
        <x:f>IF(O35=0,0,O35*(1-P35-Q35)-R35)</x:f>
        <x:v>0</x:v>
      </x:c>
      <x:c r="T35" s="282" t="n">
        <x:f>S35-K35</x:f>
        <x:v>0</x:v>
      </x:c>
      <x:c r="U35" s="293" t="n">
        <x:f>IFERROR(T35/K35,0)</x:f>
        <x:v>0</x:v>
      </x:c>
      <x:c r="V35" s="282" t="n">
        <x:f>IF(F35="",0,IF(M35="",TODAY()-F35,M35-F35))</x:f>
        <x:v>0</x:v>
      </x:c>
      <x:c r="W35" s="223"/>
      <x:c r="X35" s="223"/>
      <x:c r="Y35" s="223"/>
      <x:c r="Z35" s="223"/>
    </x:row>
    <x:row r="36">
      <x:c r="A36" s="223"/>
      <x:c r="B36" s="223"/>
      <x:c r="C36" s="223"/>
      <x:c r="D36" s="223"/>
      <x:c r="E36" s="223"/>
      <x:c r="F36" s="292"/>
      <x:c r="G36" s="223"/>
      <x:c r="H36" s="282"/>
      <x:c r="I36" s="293" t="n">
        <x:f>IF(G36="",0,XLOOKUP(G36,'平台参数'!$A$5:$A$9,'平台参数'!$E$5:$E$9,0)+XLOOKUP(G36,'平台参数'!$A$5:$A$9,'平台参数'!$G$5:$G$9,0))</x:f>
        <x:v>0</x:v>
      </x:c>
      <x:c r="J36" s="282" t="n">
        <x:f>IF(G36="",0,XLOOKUP(G36,'平台参数'!$A$5:$A$9,'平台参数'!$H$5:$H$9,0))</x:f>
        <x:v>0</x:v>
      </x:c>
      <x:c r="K36" s="282" t="n">
        <x:f>IF(H36=0,0,H36*(1+I36)+J36)</x:f>
        <x:v>0</x:v>
      </x:c>
      <x:c r="L36" s="292"/>
      <x:c r="M36" s="292"/>
      <x:c r="N36" s="223"/>
      <x:c r="O36" s="282"/>
      <x:c r="P36" s="293" t="n">
        <x:f>IF(N36="",0,XLOOKUP(N36,'平台参数'!$A$5:$A$9,'平台参数'!$F$5:$F$9,0))</x:f>
        <x:v>0</x:v>
      </x:c>
      <x:c r="Q36" s="293" t="n">
        <x:f>IF(N36="",0,XLOOKUP(N36,'平台参数'!$A$5:$A$9,'平台参数'!$G$5:$G$9,0))</x:f>
        <x:v>0</x:v>
      </x:c>
      <x:c r="R36" s="282" t="n">
        <x:f>IF(N36="",0,XLOOKUP(N36,'平台参数'!$A$5:$A$9,'平台参数'!$I$5:$I$9,0))</x:f>
        <x:v>0</x:v>
      </x:c>
      <x:c r="S36" s="282" t="n">
        <x:f>IF(O36=0,0,O36*(1-P36-Q36)-R36)</x:f>
        <x:v>0</x:v>
      </x:c>
      <x:c r="T36" s="282" t="n">
        <x:f>S36-K36</x:f>
        <x:v>0</x:v>
      </x:c>
      <x:c r="U36" s="293" t="n">
        <x:f>IFERROR(T36/K36,0)</x:f>
        <x:v>0</x:v>
      </x:c>
      <x:c r="V36" s="282" t="n">
        <x:f>IF(F36="",0,IF(M36="",TODAY()-F36,M36-F36))</x:f>
        <x:v>0</x:v>
      </x:c>
      <x:c r="W36" s="223"/>
      <x:c r="X36" s="223"/>
      <x:c r="Y36" s="223"/>
      <x:c r="Z36" s="223"/>
    </x:row>
    <x:row r="37">
      <x:c r="A37" s="223"/>
      <x:c r="B37" s="223"/>
      <x:c r="C37" s="223"/>
      <x:c r="D37" s="223"/>
      <x:c r="E37" s="223"/>
      <x:c r="F37" s="292"/>
      <x:c r="G37" s="223"/>
      <x:c r="H37" s="282"/>
      <x:c r="I37" s="293" t="n">
        <x:f>IF(G37="",0,XLOOKUP(G37,'平台参数'!$A$5:$A$9,'平台参数'!$E$5:$E$9,0)+XLOOKUP(G37,'平台参数'!$A$5:$A$9,'平台参数'!$G$5:$G$9,0))</x:f>
        <x:v>0</x:v>
      </x:c>
      <x:c r="J37" s="282" t="n">
        <x:f>IF(G37="",0,XLOOKUP(G37,'平台参数'!$A$5:$A$9,'平台参数'!$H$5:$H$9,0))</x:f>
        <x:v>0</x:v>
      </x:c>
      <x:c r="K37" s="282" t="n">
        <x:f>IF(H37=0,0,H37*(1+I37)+J37)</x:f>
        <x:v>0</x:v>
      </x:c>
      <x:c r="L37" s="292"/>
      <x:c r="M37" s="292"/>
      <x:c r="N37" s="223"/>
      <x:c r="O37" s="282"/>
      <x:c r="P37" s="293" t="n">
        <x:f>IF(N37="",0,XLOOKUP(N37,'平台参数'!$A$5:$A$9,'平台参数'!$F$5:$F$9,0))</x:f>
        <x:v>0</x:v>
      </x:c>
      <x:c r="Q37" s="293" t="n">
        <x:f>IF(N37="",0,XLOOKUP(N37,'平台参数'!$A$5:$A$9,'平台参数'!$G$5:$G$9,0))</x:f>
        <x:v>0</x:v>
      </x:c>
      <x:c r="R37" s="282" t="n">
        <x:f>IF(N37="",0,XLOOKUP(N37,'平台参数'!$A$5:$A$9,'平台参数'!$I$5:$I$9,0))</x:f>
        <x:v>0</x:v>
      </x:c>
      <x:c r="S37" s="282" t="n">
        <x:f>IF(O37=0,0,O37*(1-P37-Q37)-R37)</x:f>
        <x:v>0</x:v>
      </x:c>
      <x:c r="T37" s="282" t="n">
        <x:f>S37-K37</x:f>
        <x:v>0</x:v>
      </x:c>
      <x:c r="U37" s="293" t="n">
        <x:f>IFERROR(T37/K37,0)</x:f>
        <x:v>0</x:v>
      </x:c>
      <x:c r="V37" s="282" t="n">
        <x:f>IF(F37="",0,IF(M37="",TODAY()-F37,M37-F37))</x:f>
        <x:v>0</x:v>
      </x:c>
      <x:c r="W37" s="223"/>
      <x:c r="X37" s="223"/>
      <x:c r="Y37" s="223"/>
      <x:c r="Z37" s="223"/>
    </x:row>
    <x:row r="38">
      <x:c r="A38" s="223"/>
      <x:c r="B38" s="223"/>
      <x:c r="C38" s="223"/>
      <x:c r="D38" s="223"/>
      <x:c r="E38" s="223"/>
      <x:c r="F38" s="292"/>
      <x:c r="G38" s="223"/>
      <x:c r="H38" s="282"/>
      <x:c r="I38" s="293" t="n">
        <x:f>IF(G38="",0,XLOOKUP(G38,'平台参数'!$A$5:$A$9,'平台参数'!$E$5:$E$9,0)+XLOOKUP(G38,'平台参数'!$A$5:$A$9,'平台参数'!$G$5:$G$9,0))</x:f>
        <x:v>0</x:v>
      </x:c>
      <x:c r="J38" s="282" t="n">
        <x:f>IF(G38="",0,XLOOKUP(G38,'平台参数'!$A$5:$A$9,'平台参数'!$H$5:$H$9,0))</x:f>
        <x:v>0</x:v>
      </x:c>
      <x:c r="K38" s="282" t="n">
        <x:f>IF(H38=0,0,H38*(1+I38)+J38)</x:f>
        <x:v>0</x:v>
      </x:c>
      <x:c r="L38" s="292"/>
      <x:c r="M38" s="292"/>
      <x:c r="N38" s="223"/>
      <x:c r="O38" s="282"/>
      <x:c r="P38" s="293" t="n">
        <x:f>IF(N38="",0,XLOOKUP(N38,'平台参数'!$A$5:$A$9,'平台参数'!$F$5:$F$9,0))</x:f>
        <x:v>0</x:v>
      </x:c>
      <x:c r="Q38" s="293" t="n">
        <x:f>IF(N38="",0,XLOOKUP(N38,'平台参数'!$A$5:$A$9,'平台参数'!$G$5:$G$9,0))</x:f>
        <x:v>0</x:v>
      </x:c>
      <x:c r="R38" s="282" t="n">
        <x:f>IF(N38="",0,XLOOKUP(N38,'平台参数'!$A$5:$A$9,'平台参数'!$I$5:$I$9,0))</x:f>
        <x:v>0</x:v>
      </x:c>
      <x:c r="S38" s="282" t="n">
        <x:f>IF(O38=0,0,O38*(1-P38-Q38)-R38)</x:f>
        <x:v>0</x:v>
      </x:c>
      <x:c r="T38" s="282" t="n">
        <x:f>S38-K38</x:f>
        <x:v>0</x:v>
      </x:c>
      <x:c r="U38" s="293" t="n">
        <x:f>IFERROR(T38/K38,0)</x:f>
        <x:v>0</x:v>
      </x:c>
      <x:c r="V38" s="282" t="n">
        <x:f>IF(F38="",0,IF(M38="",TODAY()-F38,M38-F38))</x:f>
        <x:v>0</x:v>
      </x:c>
      <x:c r="W38" s="223"/>
      <x:c r="X38" s="223"/>
      <x:c r="Y38" s="223"/>
      <x:c r="Z38" s="223"/>
    </x:row>
    <x:row r="39">
      <x:c r="A39" s="223"/>
      <x:c r="B39" s="223"/>
      <x:c r="C39" s="223"/>
      <x:c r="D39" s="223"/>
      <x:c r="E39" s="223"/>
      <x:c r="F39" s="292"/>
      <x:c r="G39" s="223"/>
      <x:c r="H39" s="282"/>
      <x:c r="I39" s="293" t="n">
        <x:f>IF(G39="",0,XLOOKUP(G39,'平台参数'!$A$5:$A$9,'平台参数'!$E$5:$E$9,0)+XLOOKUP(G39,'平台参数'!$A$5:$A$9,'平台参数'!$G$5:$G$9,0))</x:f>
        <x:v>0</x:v>
      </x:c>
      <x:c r="J39" s="282" t="n">
        <x:f>IF(G39="",0,XLOOKUP(G39,'平台参数'!$A$5:$A$9,'平台参数'!$H$5:$H$9,0))</x:f>
        <x:v>0</x:v>
      </x:c>
      <x:c r="K39" s="282" t="n">
        <x:f>IF(H39=0,0,H39*(1+I39)+J39)</x:f>
        <x:v>0</x:v>
      </x:c>
      <x:c r="L39" s="292"/>
      <x:c r="M39" s="292"/>
      <x:c r="N39" s="223"/>
      <x:c r="O39" s="282"/>
      <x:c r="P39" s="293" t="n">
        <x:f>IF(N39="",0,XLOOKUP(N39,'平台参数'!$A$5:$A$9,'平台参数'!$F$5:$F$9,0))</x:f>
        <x:v>0</x:v>
      </x:c>
      <x:c r="Q39" s="293" t="n">
        <x:f>IF(N39="",0,XLOOKUP(N39,'平台参数'!$A$5:$A$9,'平台参数'!$G$5:$G$9,0))</x:f>
        <x:v>0</x:v>
      </x:c>
      <x:c r="R39" s="282" t="n">
        <x:f>IF(N39="",0,XLOOKUP(N39,'平台参数'!$A$5:$A$9,'平台参数'!$I$5:$I$9,0))</x:f>
        <x:v>0</x:v>
      </x:c>
      <x:c r="S39" s="282" t="n">
        <x:f>IF(O39=0,0,O39*(1-P39-Q39)-R39)</x:f>
        <x:v>0</x:v>
      </x:c>
      <x:c r="T39" s="282" t="n">
        <x:f>S39-K39</x:f>
        <x:v>0</x:v>
      </x:c>
      <x:c r="U39" s="293" t="n">
        <x:f>IFERROR(T39/K39,0)</x:f>
        <x:v>0</x:v>
      </x:c>
      <x:c r="V39" s="282" t="n">
        <x:f>IF(F39="",0,IF(M39="",TODAY()-F39,M39-F39))</x:f>
        <x:v>0</x:v>
      </x:c>
      <x:c r="W39" s="223"/>
      <x:c r="X39" s="223"/>
      <x:c r="Y39" s="223"/>
      <x:c r="Z39" s="223"/>
    </x:row>
    <x:row r="40">
      <x:c r="A40" s="223"/>
      <x:c r="B40" s="223"/>
      <x:c r="C40" s="223"/>
      <x:c r="D40" s="223"/>
      <x:c r="E40" s="223"/>
      <x:c r="F40" s="292"/>
      <x:c r="G40" s="223"/>
      <x:c r="H40" s="282"/>
      <x:c r="I40" s="293" t="n">
        <x:f>IF(G40="",0,XLOOKUP(G40,'平台参数'!$A$5:$A$9,'平台参数'!$E$5:$E$9,0)+XLOOKUP(G40,'平台参数'!$A$5:$A$9,'平台参数'!$G$5:$G$9,0))</x:f>
        <x:v>0</x:v>
      </x:c>
      <x:c r="J40" s="282" t="n">
        <x:f>IF(G40="",0,XLOOKUP(G40,'平台参数'!$A$5:$A$9,'平台参数'!$H$5:$H$9,0))</x:f>
        <x:v>0</x:v>
      </x:c>
      <x:c r="K40" s="282" t="n">
        <x:f>IF(H40=0,0,H40*(1+I40)+J40)</x:f>
        <x:v>0</x:v>
      </x:c>
      <x:c r="L40" s="292"/>
      <x:c r="M40" s="292"/>
      <x:c r="N40" s="223"/>
      <x:c r="O40" s="282"/>
      <x:c r="P40" s="293" t="n">
        <x:f>IF(N40="",0,XLOOKUP(N40,'平台参数'!$A$5:$A$9,'平台参数'!$F$5:$F$9,0))</x:f>
        <x:v>0</x:v>
      </x:c>
      <x:c r="Q40" s="293" t="n">
        <x:f>IF(N40="",0,XLOOKUP(N40,'平台参数'!$A$5:$A$9,'平台参数'!$G$5:$G$9,0))</x:f>
        <x:v>0</x:v>
      </x:c>
      <x:c r="R40" s="282" t="n">
        <x:f>IF(N40="",0,XLOOKUP(N40,'平台参数'!$A$5:$A$9,'平台参数'!$I$5:$I$9,0))</x:f>
        <x:v>0</x:v>
      </x:c>
      <x:c r="S40" s="282" t="n">
        <x:f>IF(O40=0,0,O40*(1-P40-Q40)-R40)</x:f>
        <x:v>0</x:v>
      </x:c>
      <x:c r="T40" s="282" t="n">
        <x:f>S40-K40</x:f>
        <x:v>0</x:v>
      </x:c>
      <x:c r="U40" s="293" t="n">
        <x:f>IFERROR(T40/K40,0)</x:f>
        <x:v>0</x:v>
      </x:c>
      <x:c r="V40" s="282" t="n">
        <x:f>IF(F40="",0,IF(M40="",TODAY()-F40,M40-F40))</x:f>
        <x:v>0</x:v>
      </x:c>
      <x:c r="W40" s="223"/>
      <x:c r="X40" s="223"/>
      <x:c r="Y40" s="223"/>
      <x:c r="Z40" s="223"/>
    </x:row>
    <x:row r="41">
      <x:c r="A41" s="223"/>
      <x:c r="B41" s="223"/>
      <x:c r="C41" s="223"/>
      <x:c r="D41" s="223"/>
      <x:c r="E41" s="223"/>
      <x:c r="F41" s="292"/>
      <x:c r="G41" s="223"/>
      <x:c r="H41" s="282"/>
      <x:c r="I41" s="293" t="n">
        <x:f>IF(G41="",0,XLOOKUP(G41,'平台参数'!$A$5:$A$9,'平台参数'!$E$5:$E$9,0)+XLOOKUP(G41,'平台参数'!$A$5:$A$9,'平台参数'!$G$5:$G$9,0))</x:f>
        <x:v>0</x:v>
      </x:c>
      <x:c r="J41" s="282" t="n">
        <x:f>IF(G41="",0,XLOOKUP(G41,'平台参数'!$A$5:$A$9,'平台参数'!$H$5:$H$9,0))</x:f>
        <x:v>0</x:v>
      </x:c>
      <x:c r="K41" s="282" t="n">
        <x:f>IF(H41=0,0,H41*(1+I41)+J41)</x:f>
        <x:v>0</x:v>
      </x:c>
      <x:c r="L41" s="292"/>
      <x:c r="M41" s="292"/>
      <x:c r="N41" s="223"/>
      <x:c r="O41" s="282"/>
      <x:c r="P41" s="293" t="n">
        <x:f>IF(N41="",0,XLOOKUP(N41,'平台参数'!$A$5:$A$9,'平台参数'!$F$5:$F$9,0))</x:f>
        <x:v>0</x:v>
      </x:c>
      <x:c r="Q41" s="293" t="n">
        <x:f>IF(N41="",0,XLOOKUP(N41,'平台参数'!$A$5:$A$9,'平台参数'!$G$5:$G$9,0))</x:f>
        <x:v>0</x:v>
      </x:c>
      <x:c r="R41" s="282" t="n">
        <x:f>IF(N41="",0,XLOOKUP(N41,'平台参数'!$A$5:$A$9,'平台参数'!$I$5:$I$9,0))</x:f>
        <x:v>0</x:v>
      </x:c>
      <x:c r="S41" s="282" t="n">
        <x:f>IF(O41=0,0,O41*(1-P41-Q41)-R41)</x:f>
        <x:v>0</x:v>
      </x:c>
      <x:c r="T41" s="282" t="n">
        <x:f>S41-K41</x:f>
        <x:v>0</x:v>
      </x:c>
      <x:c r="U41" s="293" t="n">
        <x:f>IFERROR(T41/K41,0)</x:f>
        <x:v>0</x:v>
      </x:c>
      <x:c r="V41" s="282" t="n">
        <x:f>IF(F41="",0,IF(M41="",TODAY()-F41,M41-F41))</x:f>
        <x:v>0</x:v>
      </x:c>
      <x:c r="W41" s="223"/>
      <x:c r="X41" s="223"/>
      <x:c r="Y41" s="223"/>
      <x:c r="Z41" s="223"/>
    </x:row>
    <x:row r="42">
      <x:c r="A42" s="223"/>
      <x:c r="B42" s="223"/>
      <x:c r="C42" s="223"/>
      <x:c r="D42" s="223"/>
      <x:c r="E42" s="223"/>
      <x:c r="F42" s="292"/>
      <x:c r="G42" s="223"/>
      <x:c r="H42" s="282"/>
      <x:c r="I42" s="293" t="n">
        <x:f>IF(G42="",0,XLOOKUP(G42,'平台参数'!$A$5:$A$9,'平台参数'!$E$5:$E$9,0)+XLOOKUP(G42,'平台参数'!$A$5:$A$9,'平台参数'!$G$5:$G$9,0))</x:f>
        <x:v>0</x:v>
      </x:c>
      <x:c r="J42" s="282" t="n">
        <x:f>IF(G42="",0,XLOOKUP(G42,'平台参数'!$A$5:$A$9,'平台参数'!$H$5:$H$9,0))</x:f>
        <x:v>0</x:v>
      </x:c>
      <x:c r="K42" s="282" t="n">
        <x:f>IF(H42=0,0,H42*(1+I42)+J42)</x:f>
        <x:v>0</x:v>
      </x:c>
      <x:c r="L42" s="292"/>
      <x:c r="M42" s="292"/>
      <x:c r="N42" s="223"/>
      <x:c r="O42" s="282"/>
      <x:c r="P42" s="293" t="n">
        <x:f>IF(N42="",0,XLOOKUP(N42,'平台参数'!$A$5:$A$9,'平台参数'!$F$5:$F$9,0))</x:f>
        <x:v>0</x:v>
      </x:c>
      <x:c r="Q42" s="293" t="n">
        <x:f>IF(N42="",0,XLOOKUP(N42,'平台参数'!$A$5:$A$9,'平台参数'!$G$5:$G$9,0))</x:f>
        <x:v>0</x:v>
      </x:c>
      <x:c r="R42" s="282" t="n">
        <x:f>IF(N42="",0,XLOOKUP(N42,'平台参数'!$A$5:$A$9,'平台参数'!$I$5:$I$9,0))</x:f>
        <x:v>0</x:v>
      </x:c>
      <x:c r="S42" s="282" t="n">
        <x:f>IF(O42=0,0,O42*(1-P42-Q42)-R42)</x:f>
        <x:v>0</x:v>
      </x:c>
      <x:c r="T42" s="282" t="n">
        <x:f>S42-K42</x:f>
        <x:v>0</x:v>
      </x:c>
      <x:c r="U42" s="293" t="n">
        <x:f>IFERROR(T42/K42,0)</x:f>
        <x:v>0</x:v>
      </x:c>
      <x:c r="V42" s="282" t="n">
        <x:f>IF(F42="",0,IF(M42="",TODAY()-F42,M42-F42))</x:f>
        <x:v>0</x:v>
      </x:c>
      <x:c r="W42" s="223"/>
      <x:c r="X42" s="223"/>
      <x:c r="Y42" s="223"/>
      <x:c r="Z42" s="223"/>
    </x:row>
    <x:row r="43">
      <x:c r="A43" s="223"/>
      <x:c r="B43" s="223"/>
      <x:c r="C43" s="223"/>
      <x:c r="D43" s="223"/>
      <x:c r="E43" s="223"/>
      <x:c r="F43" s="292"/>
      <x:c r="G43" s="223"/>
      <x:c r="H43" s="282"/>
      <x:c r="I43" s="293" t="n">
        <x:f>IF(G43="",0,XLOOKUP(G43,'平台参数'!$A$5:$A$9,'平台参数'!$E$5:$E$9,0)+XLOOKUP(G43,'平台参数'!$A$5:$A$9,'平台参数'!$G$5:$G$9,0))</x:f>
        <x:v>0</x:v>
      </x:c>
      <x:c r="J43" s="282" t="n">
        <x:f>IF(G43="",0,XLOOKUP(G43,'平台参数'!$A$5:$A$9,'平台参数'!$H$5:$H$9,0))</x:f>
        <x:v>0</x:v>
      </x:c>
      <x:c r="K43" s="282" t="n">
        <x:f>IF(H43=0,0,H43*(1+I43)+J43)</x:f>
        <x:v>0</x:v>
      </x:c>
      <x:c r="L43" s="292"/>
      <x:c r="M43" s="292"/>
      <x:c r="N43" s="223"/>
      <x:c r="O43" s="282"/>
      <x:c r="P43" s="293" t="n">
        <x:f>IF(N43="",0,XLOOKUP(N43,'平台参数'!$A$5:$A$9,'平台参数'!$F$5:$F$9,0))</x:f>
        <x:v>0</x:v>
      </x:c>
      <x:c r="Q43" s="293" t="n">
        <x:f>IF(N43="",0,XLOOKUP(N43,'平台参数'!$A$5:$A$9,'平台参数'!$G$5:$G$9,0))</x:f>
        <x:v>0</x:v>
      </x:c>
      <x:c r="R43" s="282" t="n">
        <x:f>IF(N43="",0,XLOOKUP(N43,'平台参数'!$A$5:$A$9,'平台参数'!$I$5:$I$9,0))</x:f>
        <x:v>0</x:v>
      </x:c>
      <x:c r="S43" s="282" t="n">
        <x:f>IF(O43=0,0,O43*(1-P43-Q43)-R43)</x:f>
        <x:v>0</x:v>
      </x:c>
      <x:c r="T43" s="282" t="n">
        <x:f>S43-K43</x:f>
        <x:v>0</x:v>
      </x:c>
      <x:c r="U43" s="293" t="n">
        <x:f>IFERROR(T43/K43,0)</x:f>
        <x:v>0</x:v>
      </x:c>
      <x:c r="V43" s="282" t="n">
        <x:f>IF(F43="",0,IF(M43="",TODAY()-F43,M43-F43))</x:f>
        <x:v>0</x:v>
      </x:c>
      <x:c r="W43" s="223"/>
      <x:c r="X43" s="223"/>
      <x:c r="Y43" s="223"/>
      <x:c r="Z43" s="223"/>
    </x:row>
    <x:row r="44">
      <x:c r="A44" s="223"/>
      <x:c r="B44" s="223"/>
      <x:c r="C44" s="223"/>
      <x:c r="D44" s="223"/>
      <x:c r="E44" s="223"/>
      <x:c r="F44" s="292"/>
      <x:c r="G44" s="223"/>
      <x:c r="H44" s="282"/>
      <x:c r="I44" s="293" t="n">
        <x:f>IF(G44="",0,XLOOKUP(G44,'平台参数'!$A$5:$A$9,'平台参数'!$E$5:$E$9,0)+XLOOKUP(G44,'平台参数'!$A$5:$A$9,'平台参数'!$G$5:$G$9,0))</x:f>
        <x:v>0</x:v>
      </x:c>
      <x:c r="J44" s="282" t="n">
        <x:f>IF(G44="",0,XLOOKUP(G44,'平台参数'!$A$5:$A$9,'平台参数'!$H$5:$H$9,0))</x:f>
        <x:v>0</x:v>
      </x:c>
      <x:c r="K44" s="282" t="n">
        <x:f>IF(H44=0,0,H44*(1+I44)+J44)</x:f>
        <x:v>0</x:v>
      </x:c>
      <x:c r="L44" s="292"/>
      <x:c r="M44" s="292"/>
      <x:c r="N44" s="223"/>
      <x:c r="O44" s="282"/>
      <x:c r="P44" s="293" t="n">
        <x:f>IF(N44="",0,XLOOKUP(N44,'平台参数'!$A$5:$A$9,'平台参数'!$F$5:$F$9,0))</x:f>
        <x:v>0</x:v>
      </x:c>
      <x:c r="Q44" s="293" t="n">
        <x:f>IF(N44="",0,XLOOKUP(N44,'平台参数'!$A$5:$A$9,'平台参数'!$G$5:$G$9,0))</x:f>
        <x:v>0</x:v>
      </x:c>
      <x:c r="R44" s="282" t="n">
        <x:f>IF(N44="",0,XLOOKUP(N44,'平台参数'!$A$5:$A$9,'平台参数'!$I$5:$I$9,0))</x:f>
        <x:v>0</x:v>
      </x:c>
      <x:c r="S44" s="282" t="n">
        <x:f>IF(O44=0,0,O44*(1-P44-Q44)-R44)</x:f>
        <x:v>0</x:v>
      </x:c>
      <x:c r="T44" s="282" t="n">
        <x:f>S44-K44</x:f>
        <x:v>0</x:v>
      </x:c>
      <x:c r="U44" s="293" t="n">
        <x:f>IFERROR(T44/K44,0)</x:f>
        <x:v>0</x:v>
      </x:c>
      <x:c r="V44" s="282" t="n">
        <x:f>IF(F44="",0,IF(M44="",TODAY()-F44,M44-F44))</x:f>
        <x:v>0</x:v>
      </x:c>
      <x:c r="W44" s="223"/>
      <x:c r="X44" s="223"/>
      <x:c r="Y44" s="223"/>
      <x:c r="Z44" s="223"/>
    </x:row>
    <x:row r="45">
      <x:c r="A45" s="223"/>
      <x:c r="B45" s="223"/>
      <x:c r="C45" s="223"/>
      <x:c r="D45" s="223"/>
      <x:c r="E45" s="223"/>
      <x:c r="F45" s="292"/>
      <x:c r="G45" s="223"/>
      <x:c r="H45" s="282"/>
      <x:c r="I45" s="293" t="n">
        <x:f>IF(G45="",0,XLOOKUP(G45,'平台参数'!$A$5:$A$9,'平台参数'!$E$5:$E$9,0)+XLOOKUP(G45,'平台参数'!$A$5:$A$9,'平台参数'!$G$5:$G$9,0))</x:f>
        <x:v>0</x:v>
      </x:c>
      <x:c r="J45" s="282" t="n">
        <x:f>IF(G45="",0,XLOOKUP(G45,'平台参数'!$A$5:$A$9,'平台参数'!$H$5:$H$9,0))</x:f>
        <x:v>0</x:v>
      </x:c>
      <x:c r="K45" s="282" t="n">
        <x:f>IF(H45=0,0,H45*(1+I45)+J45)</x:f>
        <x:v>0</x:v>
      </x:c>
      <x:c r="L45" s="292"/>
      <x:c r="M45" s="292"/>
      <x:c r="N45" s="223"/>
      <x:c r="O45" s="282"/>
      <x:c r="P45" s="293" t="n">
        <x:f>IF(N45="",0,XLOOKUP(N45,'平台参数'!$A$5:$A$9,'平台参数'!$F$5:$F$9,0))</x:f>
        <x:v>0</x:v>
      </x:c>
      <x:c r="Q45" s="293" t="n">
        <x:f>IF(N45="",0,XLOOKUP(N45,'平台参数'!$A$5:$A$9,'平台参数'!$G$5:$G$9,0))</x:f>
        <x:v>0</x:v>
      </x:c>
      <x:c r="R45" s="282" t="n">
        <x:f>IF(N45="",0,XLOOKUP(N45,'平台参数'!$A$5:$A$9,'平台参数'!$I$5:$I$9,0))</x:f>
        <x:v>0</x:v>
      </x:c>
      <x:c r="S45" s="282" t="n">
        <x:f>IF(O45=0,0,O45*(1-P45-Q45)-R45)</x:f>
        <x:v>0</x:v>
      </x:c>
      <x:c r="T45" s="282" t="n">
        <x:f>S45-K45</x:f>
        <x:v>0</x:v>
      </x:c>
      <x:c r="U45" s="293" t="n">
        <x:f>IFERROR(T45/K45,0)</x:f>
        <x:v>0</x:v>
      </x:c>
      <x:c r="V45" s="282" t="n">
        <x:f>IF(F45="",0,IF(M45="",TODAY()-F45,M45-F45))</x:f>
        <x:v>0</x:v>
      </x:c>
      <x:c r="W45" s="223"/>
      <x:c r="X45" s="223"/>
      <x:c r="Y45" s="223"/>
      <x:c r="Z45" s="223"/>
    </x:row>
    <x:row r="46">
      <x:c r="A46" s="223"/>
      <x:c r="B46" s="223"/>
      <x:c r="C46" s="223"/>
      <x:c r="D46" s="223"/>
      <x:c r="E46" s="223"/>
      <x:c r="F46" s="292"/>
      <x:c r="G46" s="223"/>
      <x:c r="H46" s="282"/>
      <x:c r="I46" s="293" t="n">
        <x:f>IF(G46="",0,XLOOKUP(G46,'平台参数'!$A$5:$A$9,'平台参数'!$E$5:$E$9,0)+XLOOKUP(G46,'平台参数'!$A$5:$A$9,'平台参数'!$G$5:$G$9,0))</x:f>
        <x:v>0</x:v>
      </x:c>
      <x:c r="J46" s="282" t="n">
        <x:f>IF(G46="",0,XLOOKUP(G46,'平台参数'!$A$5:$A$9,'平台参数'!$H$5:$H$9,0))</x:f>
        <x:v>0</x:v>
      </x:c>
      <x:c r="K46" s="282" t="n">
        <x:f>IF(H46=0,0,H46*(1+I46)+J46)</x:f>
        <x:v>0</x:v>
      </x:c>
      <x:c r="L46" s="292"/>
      <x:c r="M46" s="292"/>
      <x:c r="N46" s="223"/>
      <x:c r="O46" s="282"/>
      <x:c r="P46" s="293" t="n">
        <x:f>IF(N46="",0,XLOOKUP(N46,'平台参数'!$A$5:$A$9,'平台参数'!$F$5:$F$9,0))</x:f>
        <x:v>0</x:v>
      </x:c>
      <x:c r="Q46" s="293" t="n">
        <x:f>IF(N46="",0,XLOOKUP(N46,'平台参数'!$A$5:$A$9,'平台参数'!$G$5:$G$9,0))</x:f>
        <x:v>0</x:v>
      </x:c>
      <x:c r="R46" s="282" t="n">
        <x:f>IF(N46="",0,XLOOKUP(N46,'平台参数'!$A$5:$A$9,'平台参数'!$I$5:$I$9,0))</x:f>
        <x:v>0</x:v>
      </x:c>
      <x:c r="S46" s="282" t="n">
        <x:f>IF(O46=0,0,O46*(1-P46-Q46)-R46)</x:f>
        <x:v>0</x:v>
      </x:c>
      <x:c r="T46" s="282" t="n">
        <x:f>S46-K46</x:f>
        <x:v>0</x:v>
      </x:c>
      <x:c r="U46" s="293" t="n">
        <x:f>IFERROR(T46/K46,0)</x:f>
        <x:v>0</x:v>
      </x:c>
      <x:c r="V46" s="282" t="n">
        <x:f>IF(F46="",0,IF(M46="",TODAY()-F46,M46-F46))</x:f>
        <x:v>0</x:v>
      </x:c>
      <x:c r="W46" s="223"/>
      <x:c r="X46" s="223"/>
      <x:c r="Y46" s="223"/>
      <x:c r="Z46" s="223"/>
    </x:row>
    <x:row r="47">
      <x:c r="A47" s="223"/>
      <x:c r="B47" s="223"/>
      <x:c r="C47" s="223"/>
      <x:c r="D47" s="223"/>
      <x:c r="E47" s="223"/>
      <x:c r="F47" s="292"/>
      <x:c r="G47" s="223"/>
      <x:c r="H47" s="282"/>
      <x:c r="I47" s="293" t="n">
        <x:f>IF(G47="",0,XLOOKUP(G47,'平台参数'!$A$5:$A$9,'平台参数'!$E$5:$E$9,0)+XLOOKUP(G47,'平台参数'!$A$5:$A$9,'平台参数'!$G$5:$G$9,0))</x:f>
        <x:v>0</x:v>
      </x:c>
      <x:c r="J47" s="282" t="n">
        <x:f>IF(G47="",0,XLOOKUP(G47,'平台参数'!$A$5:$A$9,'平台参数'!$H$5:$H$9,0))</x:f>
        <x:v>0</x:v>
      </x:c>
      <x:c r="K47" s="282" t="n">
        <x:f>IF(H47=0,0,H47*(1+I47)+J47)</x:f>
        <x:v>0</x:v>
      </x:c>
      <x:c r="L47" s="292"/>
      <x:c r="M47" s="292"/>
      <x:c r="N47" s="223"/>
      <x:c r="O47" s="282"/>
      <x:c r="P47" s="293" t="n">
        <x:f>IF(N47="",0,XLOOKUP(N47,'平台参数'!$A$5:$A$9,'平台参数'!$F$5:$F$9,0))</x:f>
        <x:v>0</x:v>
      </x:c>
      <x:c r="Q47" s="293" t="n">
        <x:f>IF(N47="",0,XLOOKUP(N47,'平台参数'!$A$5:$A$9,'平台参数'!$G$5:$G$9,0))</x:f>
        <x:v>0</x:v>
      </x:c>
      <x:c r="R47" s="282" t="n">
        <x:f>IF(N47="",0,XLOOKUP(N47,'平台参数'!$A$5:$A$9,'平台参数'!$I$5:$I$9,0))</x:f>
        <x:v>0</x:v>
      </x:c>
      <x:c r="S47" s="282" t="n">
        <x:f>IF(O47=0,0,O47*(1-P47-Q47)-R47)</x:f>
        <x:v>0</x:v>
      </x:c>
      <x:c r="T47" s="282" t="n">
        <x:f>S47-K47</x:f>
        <x:v>0</x:v>
      </x:c>
      <x:c r="U47" s="293" t="n">
        <x:f>IFERROR(T47/K47,0)</x:f>
        <x:v>0</x:v>
      </x:c>
      <x:c r="V47" s="282" t="n">
        <x:f>IF(F47="",0,IF(M47="",TODAY()-F47,M47-F47))</x:f>
        <x:v>0</x:v>
      </x:c>
      <x:c r="W47" s="223"/>
      <x:c r="X47" s="223"/>
      <x:c r="Y47" s="223"/>
      <x:c r="Z47" s="223"/>
    </x:row>
    <x:row r="48">
      <x:c r="A48" s="223"/>
      <x:c r="B48" s="223"/>
      <x:c r="C48" s="223"/>
      <x:c r="D48" s="223"/>
      <x:c r="E48" s="223"/>
      <x:c r="F48" s="292"/>
      <x:c r="G48" s="223"/>
      <x:c r="H48" s="282"/>
      <x:c r="I48" s="293" t="n">
        <x:f>IF(G48="",0,XLOOKUP(G48,'平台参数'!$A$5:$A$9,'平台参数'!$E$5:$E$9,0)+XLOOKUP(G48,'平台参数'!$A$5:$A$9,'平台参数'!$G$5:$G$9,0))</x:f>
        <x:v>0</x:v>
      </x:c>
      <x:c r="J48" s="282" t="n">
        <x:f>IF(G48="",0,XLOOKUP(G48,'平台参数'!$A$5:$A$9,'平台参数'!$H$5:$H$9,0))</x:f>
        <x:v>0</x:v>
      </x:c>
      <x:c r="K48" s="282" t="n">
        <x:f>IF(H48=0,0,H48*(1+I48)+J48)</x:f>
        <x:v>0</x:v>
      </x:c>
      <x:c r="L48" s="292"/>
      <x:c r="M48" s="292"/>
      <x:c r="N48" s="223"/>
      <x:c r="O48" s="282"/>
      <x:c r="P48" s="293" t="n">
        <x:f>IF(N48="",0,XLOOKUP(N48,'平台参数'!$A$5:$A$9,'平台参数'!$F$5:$F$9,0))</x:f>
        <x:v>0</x:v>
      </x:c>
      <x:c r="Q48" s="293" t="n">
        <x:f>IF(N48="",0,XLOOKUP(N48,'平台参数'!$A$5:$A$9,'平台参数'!$G$5:$G$9,0))</x:f>
        <x:v>0</x:v>
      </x:c>
      <x:c r="R48" s="282" t="n">
        <x:f>IF(N48="",0,XLOOKUP(N48,'平台参数'!$A$5:$A$9,'平台参数'!$I$5:$I$9,0))</x:f>
        <x:v>0</x:v>
      </x:c>
      <x:c r="S48" s="282" t="n">
        <x:f>IF(O48=0,0,O48*(1-P48-Q48)-R48)</x:f>
        <x:v>0</x:v>
      </x:c>
      <x:c r="T48" s="282" t="n">
        <x:f>S48-K48</x:f>
        <x:v>0</x:v>
      </x:c>
      <x:c r="U48" s="293" t="n">
        <x:f>IFERROR(T48/K48,0)</x:f>
        <x:v>0</x:v>
      </x:c>
      <x:c r="V48" s="282" t="n">
        <x:f>IF(F48="",0,IF(M48="",TODAY()-F48,M48-F48))</x:f>
        <x:v>0</x:v>
      </x:c>
      <x:c r="W48" s="223"/>
      <x:c r="X48" s="223"/>
      <x:c r="Y48" s="223"/>
      <x:c r="Z48" s="223"/>
    </x:row>
    <x:row r="49">
      <x:c r="A49" s="223"/>
      <x:c r="B49" s="223"/>
      <x:c r="C49" s="223"/>
      <x:c r="D49" s="223"/>
      <x:c r="E49" s="223"/>
      <x:c r="F49" s="292"/>
      <x:c r="G49" s="223"/>
      <x:c r="H49" s="282"/>
      <x:c r="I49" s="293" t="n">
        <x:f>IF(G49="",0,XLOOKUP(G49,'平台参数'!$A$5:$A$9,'平台参数'!$E$5:$E$9,0)+XLOOKUP(G49,'平台参数'!$A$5:$A$9,'平台参数'!$G$5:$G$9,0))</x:f>
        <x:v>0</x:v>
      </x:c>
      <x:c r="J49" s="282" t="n">
        <x:f>IF(G49="",0,XLOOKUP(G49,'平台参数'!$A$5:$A$9,'平台参数'!$H$5:$H$9,0))</x:f>
        <x:v>0</x:v>
      </x:c>
      <x:c r="K49" s="282" t="n">
        <x:f>IF(H49=0,0,H49*(1+I49)+J49)</x:f>
        <x:v>0</x:v>
      </x:c>
      <x:c r="L49" s="292"/>
      <x:c r="M49" s="292"/>
      <x:c r="N49" s="223"/>
      <x:c r="O49" s="282"/>
      <x:c r="P49" s="293" t="n">
        <x:f>IF(N49="",0,XLOOKUP(N49,'平台参数'!$A$5:$A$9,'平台参数'!$F$5:$F$9,0))</x:f>
        <x:v>0</x:v>
      </x:c>
      <x:c r="Q49" s="293" t="n">
        <x:f>IF(N49="",0,XLOOKUP(N49,'平台参数'!$A$5:$A$9,'平台参数'!$G$5:$G$9,0))</x:f>
        <x:v>0</x:v>
      </x:c>
      <x:c r="R49" s="282" t="n">
        <x:f>IF(N49="",0,XLOOKUP(N49,'平台参数'!$A$5:$A$9,'平台参数'!$I$5:$I$9,0))</x:f>
        <x:v>0</x:v>
      </x:c>
      <x:c r="S49" s="282" t="n">
        <x:f>IF(O49=0,0,O49*(1-P49-Q49)-R49)</x:f>
        <x:v>0</x:v>
      </x:c>
      <x:c r="T49" s="282" t="n">
        <x:f>S49-K49</x:f>
        <x:v>0</x:v>
      </x:c>
      <x:c r="U49" s="293" t="n">
        <x:f>IFERROR(T49/K49,0)</x:f>
        <x:v>0</x:v>
      </x:c>
      <x:c r="V49" s="282" t="n">
        <x:f>IF(F49="",0,IF(M49="",TODAY()-F49,M49-F49))</x:f>
        <x:v>0</x:v>
      </x:c>
      <x:c r="W49" s="223"/>
      <x:c r="X49" s="223"/>
      <x:c r="Y49" s="223"/>
      <x:c r="Z49" s="223"/>
    </x:row>
    <x:row r="50">
      <x:c r="A50" s="223"/>
      <x:c r="B50" s="223"/>
      <x:c r="C50" s="223"/>
      <x:c r="D50" s="223"/>
      <x:c r="E50" s="223"/>
      <x:c r="F50" s="292"/>
      <x:c r="G50" s="223"/>
      <x:c r="H50" s="282"/>
      <x:c r="I50" s="293" t="n">
        <x:f>IF(G50="",0,XLOOKUP(G50,'平台参数'!$A$5:$A$9,'平台参数'!$E$5:$E$9,0)+XLOOKUP(G50,'平台参数'!$A$5:$A$9,'平台参数'!$G$5:$G$9,0))</x:f>
        <x:v>0</x:v>
      </x:c>
      <x:c r="J50" s="282" t="n">
        <x:f>IF(G50="",0,XLOOKUP(G50,'平台参数'!$A$5:$A$9,'平台参数'!$H$5:$H$9,0))</x:f>
        <x:v>0</x:v>
      </x:c>
      <x:c r="K50" s="282" t="n">
        <x:f>IF(H50=0,0,H50*(1+I50)+J50)</x:f>
        <x:v>0</x:v>
      </x:c>
      <x:c r="L50" s="292"/>
      <x:c r="M50" s="292"/>
      <x:c r="N50" s="223"/>
      <x:c r="O50" s="282"/>
      <x:c r="P50" s="293" t="n">
        <x:f>IF(N50="",0,XLOOKUP(N50,'平台参数'!$A$5:$A$9,'平台参数'!$F$5:$F$9,0))</x:f>
        <x:v>0</x:v>
      </x:c>
      <x:c r="Q50" s="293" t="n">
        <x:f>IF(N50="",0,XLOOKUP(N50,'平台参数'!$A$5:$A$9,'平台参数'!$G$5:$G$9,0))</x:f>
        <x:v>0</x:v>
      </x:c>
      <x:c r="R50" s="282" t="n">
        <x:f>IF(N50="",0,XLOOKUP(N50,'平台参数'!$A$5:$A$9,'平台参数'!$I$5:$I$9,0))</x:f>
        <x:v>0</x:v>
      </x:c>
      <x:c r="S50" s="282" t="n">
        <x:f>IF(O50=0,0,O50*(1-P50-Q50)-R50)</x:f>
        <x:v>0</x:v>
      </x:c>
      <x:c r="T50" s="282" t="n">
        <x:f>S50-K50</x:f>
        <x:v>0</x:v>
      </x:c>
      <x:c r="U50" s="293" t="n">
        <x:f>IFERROR(T50/K50,0)</x:f>
        <x:v>0</x:v>
      </x:c>
      <x:c r="V50" s="282" t="n">
        <x:f>IF(F50="",0,IF(M50="",TODAY()-F50,M50-F50))</x:f>
        <x:v>0</x:v>
      </x:c>
      <x:c r="W50" s="223"/>
      <x:c r="X50" s="223"/>
      <x:c r="Y50" s="223"/>
      <x:c r="Z50" s="223"/>
    </x:row>
    <x:row r="51">
      <x:c r="A51" s="223"/>
      <x:c r="B51" s="223"/>
      <x:c r="C51" s="223"/>
      <x:c r="D51" s="223"/>
      <x:c r="E51" s="223"/>
      <x:c r="F51" s="292"/>
      <x:c r="G51" s="223"/>
      <x:c r="H51" s="282"/>
      <x:c r="I51" s="293" t="n">
        <x:f>IF(G51="",0,XLOOKUP(G51,'平台参数'!$A$5:$A$9,'平台参数'!$E$5:$E$9,0)+XLOOKUP(G51,'平台参数'!$A$5:$A$9,'平台参数'!$G$5:$G$9,0))</x:f>
        <x:v>0</x:v>
      </x:c>
      <x:c r="J51" s="282" t="n">
        <x:f>IF(G51="",0,XLOOKUP(G51,'平台参数'!$A$5:$A$9,'平台参数'!$H$5:$H$9,0))</x:f>
        <x:v>0</x:v>
      </x:c>
      <x:c r="K51" s="282" t="n">
        <x:f>IF(H51=0,0,H51*(1+I51)+J51)</x:f>
        <x:v>0</x:v>
      </x:c>
      <x:c r="L51" s="292"/>
      <x:c r="M51" s="292"/>
      <x:c r="N51" s="223"/>
      <x:c r="O51" s="282"/>
      <x:c r="P51" s="293" t="n">
        <x:f>IF(N51="",0,XLOOKUP(N51,'平台参数'!$A$5:$A$9,'平台参数'!$F$5:$F$9,0))</x:f>
        <x:v>0</x:v>
      </x:c>
      <x:c r="Q51" s="293" t="n">
        <x:f>IF(N51="",0,XLOOKUP(N51,'平台参数'!$A$5:$A$9,'平台参数'!$G$5:$G$9,0))</x:f>
        <x:v>0</x:v>
      </x:c>
      <x:c r="R51" s="282" t="n">
        <x:f>IF(N51="",0,XLOOKUP(N51,'平台参数'!$A$5:$A$9,'平台参数'!$I$5:$I$9,0))</x:f>
        <x:v>0</x:v>
      </x:c>
      <x:c r="S51" s="282" t="n">
        <x:f>IF(O51=0,0,O51*(1-P51-Q51)-R51)</x:f>
        <x:v>0</x:v>
      </x:c>
      <x:c r="T51" s="282" t="n">
        <x:f>S51-K51</x:f>
        <x:v>0</x:v>
      </x:c>
      <x:c r="U51" s="293" t="n">
        <x:f>IFERROR(T51/K51,0)</x:f>
        <x:v>0</x:v>
      </x:c>
      <x:c r="V51" s="282" t="n">
        <x:f>IF(F51="",0,IF(M51="",TODAY()-F51,M51-F51))</x:f>
        <x:v>0</x:v>
      </x:c>
      <x:c r="W51" s="223"/>
      <x:c r="X51" s="223"/>
      <x:c r="Y51" s="223"/>
      <x:c r="Z51" s="223"/>
    </x:row>
    <x:row r="52">
      <x:c r="A52" s="223"/>
      <x:c r="B52" s="223"/>
      <x:c r="C52" s="223"/>
      <x:c r="D52" s="223"/>
      <x:c r="E52" s="223"/>
      <x:c r="F52" s="292"/>
      <x:c r="G52" s="223"/>
      <x:c r="H52" s="282"/>
      <x:c r="I52" s="293" t="n">
        <x:f>IF(G52="",0,XLOOKUP(G52,'平台参数'!$A$5:$A$9,'平台参数'!$E$5:$E$9,0)+XLOOKUP(G52,'平台参数'!$A$5:$A$9,'平台参数'!$G$5:$G$9,0))</x:f>
        <x:v>0</x:v>
      </x:c>
      <x:c r="J52" s="282" t="n">
        <x:f>IF(G52="",0,XLOOKUP(G52,'平台参数'!$A$5:$A$9,'平台参数'!$H$5:$H$9,0))</x:f>
        <x:v>0</x:v>
      </x:c>
      <x:c r="K52" s="282" t="n">
        <x:f>IF(H52=0,0,H52*(1+I52)+J52)</x:f>
        <x:v>0</x:v>
      </x:c>
      <x:c r="L52" s="292"/>
      <x:c r="M52" s="292"/>
      <x:c r="N52" s="223"/>
      <x:c r="O52" s="282"/>
      <x:c r="P52" s="293" t="n">
        <x:f>IF(N52="",0,XLOOKUP(N52,'平台参数'!$A$5:$A$9,'平台参数'!$F$5:$F$9,0))</x:f>
        <x:v>0</x:v>
      </x:c>
      <x:c r="Q52" s="293" t="n">
        <x:f>IF(N52="",0,XLOOKUP(N52,'平台参数'!$A$5:$A$9,'平台参数'!$G$5:$G$9,0))</x:f>
        <x:v>0</x:v>
      </x:c>
      <x:c r="R52" s="282" t="n">
        <x:f>IF(N52="",0,XLOOKUP(N52,'平台参数'!$A$5:$A$9,'平台参数'!$I$5:$I$9,0))</x:f>
        <x:v>0</x:v>
      </x:c>
      <x:c r="S52" s="282" t="n">
        <x:f>IF(O52=0,0,O52*(1-P52-Q52)-R52)</x:f>
        <x:v>0</x:v>
      </x:c>
      <x:c r="T52" s="282" t="n">
        <x:f>S52-K52</x:f>
        <x:v>0</x:v>
      </x:c>
      <x:c r="U52" s="293" t="n">
        <x:f>IFERROR(T52/K52,0)</x:f>
        <x:v>0</x:v>
      </x:c>
      <x:c r="V52" s="282" t="n">
        <x:f>IF(F52="",0,IF(M52="",TODAY()-F52,M52-F52))</x:f>
        <x:v>0</x:v>
      </x:c>
      <x:c r="W52" s="223"/>
      <x:c r="X52" s="223"/>
      <x:c r="Y52" s="223"/>
      <x:c r="Z52" s="223"/>
    </x:row>
    <x:row r="53">
      <x:c r="A53" s="223"/>
      <x:c r="B53" s="223"/>
      <x:c r="C53" s="223"/>
      <x:c r="D53" s="223"/>
      <x:c r="E53" s="223"/>
      <x:c r="F53" s="292"/>
      <x:c r="G53" s="223"/>
      <x:c r="H53" s="282"/>
      <x:c r="I53" s="293" t="n">
        <x:f>IF(G53="",0,XLOOKUP(G53,'平台参数'!$A$5:$A$9,'平台参数'!$E$5:$E$9,0)+XLOOKUP(G53,'平台参数'!$A$5:$A$9,'平台参数'!$G$5:$G$9,0))</x:f>
        <x:v>0</x:v>
      </x:c>
      <x:c r="J53" s="282" t="n">
        <x:f>IF(G53="",0,XLOOKUP(G53,'平台参数'!$A$5:$A$9,'平台参数'!$H$5:$H$9,0))</x:f>
        <x:v>0</x:v>
      </x:c>
      <x:c r="K53" s="282" t="n">
        <x:f>IF(H53=0,0,H53*(1+I53)+J53)</x:f>
        <x:v>0</x:v>
      </x:c>
      <x:c r="L53" s="292"/>
      <x:c r="M53" s="292"/>
      <x:c r="N53" s="223"/>
      <x:c r="O53" s="282"/>
      <x:c r="P53" s="293" t="n">
        <x:f>IF(N53="",0,XLOOKUP(N53,'平台参数'!$A$5:$A$9,'平台参数'!$F$5:$F$9,0))</x:f>
        <x:v>0</x:v>
      </x:c>
      <x:c r="Q53" s="293" t="n">
        <x:f>IF(N53="",0,XLOOKUP(N53,'平台参数'!$A$5:$A$9,'平台参数'!$G$5:$G$9,0))</x:f>
        <x:v>0</x:v>
      </x:c>
      <x:c r="R53" s="282" t="n">
        <x:f>IF(N53="",0,XLOOKUP(N53,'平台参数'!$A$5:$A$9,'平台参数'!$I$5:$I$9,0))</x:f>
        <x:v>0</x:v>
      </x:c>
      <x:c r="S53" s="282" t="n">
        <x:f>IF(O53=0,0,O53*(1-P53-Q53)-R53)</x:f>
        <x:v>0</x:v>
      </x:c>
      <x:c r="T53" s="282" t="n">
        <x:f>S53-K53</x:f>
        <x:v>0</x:v>
      </x:c>
      <x:c r="U53" s="293" t="n">
        <x:f>IFERROR(T53/K53,0)</x:f>
        <x:v>0</x:v>
      </x:c>
      <x:c r="V53" s="282" t="n">
        <x:f>IF(F53="",0,IF(M53="",TODAY()-F53,M53-F53))</x:f>
        <x:v>0</x:v>
      </x:c>
      <x:c r="W53" s="223"/>
      <x:c r="X53" s="223"/>
      <x:c r="Y53" s="223"/>
      <x:c r="Z53" s="223"/>
    </x:row>
    <x:row r="54">
      <x:c r="A54" s="223"/>
      <x:c r="B54" s="223"/>
      <x:c r="C54" s="223"/>
      <x:c r="D54" s="223"/>
      <x:c r="E54" s="223"/>
      <x:c r="F54" s="292"/>
      <x:c r="G54" s="223"/>
      <x:c r="H54" s="282"/>
      <x:c r="I54" s="293" t="n">
        <x:f>IF(G54="",0,XLOOKUP(G54,'平台参数'!$A$5:$A$9,'平台参数'!$E$5:$E$9,0)+XLOOKUP(G54,'平台参数'!$A$5:$A$9,'平台参数'!$G$5:$G$9,0))</x:f>
        <x:v>0</x:v>
      </x:c>
      <x:c r="J54" s="282" t="n">
        <x:f>IF(G54="",0,XLOOKUP(G54,'平台参数'!$A$5:$A$9,'平台参数'!$H$5:$H$9,0))</x:f>
        <x:v>0</x:v>
      </x:c>
      <x:c r="K54" s="282" t="n">
        <x:f>IF(H54=0,0,H54*(1+I54)+J54)</x:f>
        <x:v>0</x:v>
      </x:c>
      <x:c r="L54" s="292"/>
      <x:c r="M54" s="292"/>
      <x:c r="N54" s="223"/>
      <x:c r="O54" s="282"/>
      <x:c r="P54" s="293" t="n">
        <x:f>IF(N54="",0,XLOOKUP(N54,'平台参数'!$A$5:$A$9,'平台参数'!$F$5:$F$9,0))</x:f>
        <x:v>0</x:v>
      </x:c>
      <x:c r="Q54" s="293" t="n">
        <x:f>IF(N54="",0,XLOOKUP(N54,'平台参数'!$A$5:$A$9,'平台参数'!$G$5:$G$9,0))</x:f>
        <x:v>0</x:v>
      </x:c>
      <x:c r="R54" s="282" t="n">
        <x:f>IF(N54="",0,XLOOKUP(N54,'平台参数'!$A$5:$A$9,'平台参数'!$I$5:$I$9,0))</x:f>
        <x:v>0</x:v>
      </x:c>
      <x:c r="S54" s="282" t="n">
        <x:f>IF(O54=0,0,O54*(1-P54-Q54)-R54)</x:f>
        <x:v>0</x:v>
      </x:c>
      <x:c r="T54" s="282" t="n">
        <x:f>S54-K54</x:f>
        <x:v>0</x:v>
      </x:c>
      <x:c r="U54" s="293" t="n">
        <x:f>IFERROR(T54/K54,0)</x:f>
        <x:v>0</x:v>
      </x:c>
      <x:c r="V54" s="282" t="n">
        <x:f>IF(F54="",0,IF(M54="",TODAY()-F54,M54-F54))</x:f>
        <x:v>0</x:v>
      </x:c>
      <x:c r="W54" s="223"/>
      <x:c r="X54" s="223"/>
      <x:c r="Y54" s="223"/>
      <x:c r="Z54" s="223"/>
    </x:row>
    <x:row r="55">
      <x:c r="A55" s="223"/>
      <x:c r="B55" s="223"/>
      <x:c r="C55" s="223"/>
      <x:c r="D55" s="223"/>
      <x:c r="E55" s="223"/>
      <x:c r="F55" s="292"/>
      <x:c r="G55" s="223"/>
      <x:c r="H55" s="282"/>
      <x:c r="I55" s="293" t="n">
        <x:f>IF(G55="",0,XLOOKUP(G55,'平台参数'!$A$5:$A$9,'平台参数'!$E$5:$E$9,0)+XLOOKUP(G55,'平台参数'!$A$5:$A$9,'平台参数'!$G$5:$G$9,0))</x:f>
        <x:v>0</x:v>
      </x:c>
      <x:c r="J55" s="282" t="n">
        <x:f>IF(G55="",0,XLOOKUP(G55,'平台参数'!$A$5:$A$9,'平台参数'!$H$5:$H$9,0))</x:f>
        <x:v>0</x:v>
      </x:c>
      <x:c r="K55" s="282" t="n">
        <x:f>IF(H55=0,0,H55*(1+I55)+J55)</x:f>
        <x:v>0</x:v>
      </x:c>
      <x:c r="L55" s="292"/>
      <x:c r="M55" s="292"/>
      <x:c r="N55" s="223"/>
      <x:c r="O55" s="282"/>
      <x:c r="P55" s="293" t="n">
        <x:f>IF(N55="",0,XLOOKUP(N55,'平台参数'!$A$5:$A$9,'平台参数'!$F$5:$F$9,0))</x:f>
        <x:v>0</x:v>
      </x:c>
      <x:c r="Q55" s="293" t="n">
        <x:f>IF(N55="",0,XLOOKUP(N55,'平台参数'!$A$5:$A$9,'平台参数'!$G$5:$G$9,0))</x:f>
        <x:v>0</x:v>
      </x:c>
      <x:c r="R55" s="282" t="n">
        <x:f>IF(N55="",0,XLOOKUP(N55,'平台参数'!$A$5:$A$9,'平台参数'!$I$5:$I$9,0))</x:f>
        <x:v>0</x:v>
      </x:c>
      <x:c r="S55" s="282" t="n">
        <x:f>IF(O55=0,0,O55*(1-P55-Q55)-R55)</x:f>
        <x:v>0</x:v>
      </x:c>
      <x:c r="T55" s="282" t="n">
        <x:f>S55-K55</x:f>
        <x:v>0</x:v>
      </x:c>
      <x:c r="U55" s="293" t="n">
        <x:f>IFERROR(T55/K55,0)</x:f>
        <x:v>0</x:v>
      </x:c>
      <x:c r="V55" s="282" t="n">
        <x:f>IF(F55="",0,IF(M55="",TODAY()-F55,M55-F55))</x:f>
        <x:v>0</x:v>
      </x:c>
      <x:c r="W55" s="223"/>
      <x:c r="X55" s="223"/>
      <x:c r="Y55" s="223"/>
      <x:c r="Z55" s="223"/>
    </x:row>
    <x:row r="56">
      <x:c r="A56" s="223"/>
      <x:c r="B56" s="223"/>
      <x:c r="C56" s="223"/>
      <x:c r="D56" s="223"/>
      <x:c r="E56" s="223"/>
      <x:c r="F56" s="292"/>
      <x:c r="G56" s="223"/>
      <x:c r="H56" s="282"/>
      <x:c r="I56" s="293" t="n">
        <x:f>IF(G56="",0,XLOOKUP(G56,'平台参数'!$A$5:$A$9,'平台参数'!$E$5:$E$9,0)+XLOOKUP(G56,'平台参数'!$A$5:$A$9,'平台参数'!$G$5:$G$9,0))</x:f>
        <x:v>0</x:v>
      </x:c>
      <x:c r="J56" s="282" t="n">
        <x:f>IF(G56="",0,XLOOKUP(G56,'平台参数'!$A$5:$A$9,'平台参数'!$H$5:$H$9,0))</x:f>
        <x:v>0</x:v>
      </x:c>
      <x:c r="K56" s="282" t="n">
        <x:f>IF(H56=0,0,H56*(1+I56)+J56)</x:f>
        <x:v>0</x:v>
      </x:c>
      <x:c r="L56" s="292"/>
      <x:c r="M56" s="292"/>
      <x:c r="N56" s="223"/>
      <x:c r="O56" s="282"/>
      <x:c r="P56" s="293" t="n">
        <x:f>IF(N56="",0,XLOOKUP(N56,'平台参数'!$A$5:$A$9,'平台参数'!$F$5:$F$9,0))</x:f>
        <x:v>0</x:v>
      </x:c>
      <x:c r="Q56" s="293" t="n">
        <x:f>IF(N56="",0,XLOOKUP(N56,'平台参数'!$A$5:$A$9,'平台参数'!$G$5:$G$9,0))</x:f>
        <x:v>0</x:v>
      </x:c>
      <x:c r="R56" s="282" t="n">
        <x:f>IF(N56="",0,XLOOKUP(N56,'平台参数'!$A$5:$A$9,'平台参数'!$I$5:$I$9,0))</x:f>
        <x:v>0</x:v>
      </x:c>
      <x:c r="S56" s="282" t="n">
        <x:f>IF(O56=0,0,O56*(1-P56-Q56)-R56)</x:f>
        <x:v>0</x:v>
      </x:c>
      <x:c r="T56" s="282" t="n">
        <x:f>S56-K56</x:f>
        <x:v>0</x:v>
      </x:c>
      <x:c r="U56" s="293" t="n">
        <x:f>IFERROR(T56/K56,0)</x:f>
        <x:v>0</x:v>
      </x:c>
      <x:c r="V56" s="282" t="n">
        <x:f>IF(F56="",0,IF(M56="",TODAY()-F56,M56-F56))</x:f>
        <x:v>0</x:v>
      </x:c>
      <x:c r="W56" s="223"/>
      <x:c r="X56" s="223"/>
      <x:c r="Y56" s="223"/>
      <x:c r="Z56" s="223"/>
    </x:row>
    <x:row r="57">
      <x:c r="A57" s="223"/>
      <x:c r="B57" s="223"/>
      <x:c r="C57" s="223"/>
      <x:c r="D57" s="223"/>
      <x:c r="E57" s="223"/>
      <x:c r="F57" s="292"/>
      <x:c r="G57" s="223"/>
      <x:c r="H57" s="282"/>
      <x:c r="I57" s="293" t="n">
        <x:f>IF(G57="",0,XLOOKUP(G57,'平台参数'!$A$5:$A$9,'平台参数'!$E$5:$E$9,0)+XLOOKUP(G57,'平台参数'!$A$5:$A$9,'平台参数'!$G$5:$G$9,0))</x:f>
        <x:v>0</x:v>
      </x:c>
      <x:c r="J57" s="282" t="n">
        <x:f>IF(G57="",0,XLOOKUP(G57,'平台参数'!$A$5:$A$9,'平台参数'!$H$5:$H$9,0))</x:f>
        <x:v>0</x:v>
      </x:c>
      <x:c r="K57" s="282" t="n">
        <x:f>IF(H57=0,0,H57*(1+I57)+J57)</x:f>
        <x:v>0</x:v>
      </x:c>
      <x:c r="L57" s="292"/>
      <x:c r="M57" s="292"/>
      <x:c r="N57" s="223"/>
      <x:c r="O57" s="282"/>
      <x:c r="P57" s="293" t="n">
        <x:f>IF(N57="",0,XLOOKUP(N57,'平台参数'!$A$5:$A$9,'平台参数'!$F$5:$F$9,0))</x:f>
        <x:v>0</x:v>
      </x:c>
      <x:c r="Q57" s="293" t="n">
        <x:f>IF(N57="",0,XLOOKUP(N57,'平台参数'!$A$5:$A$9,'平台参数'!$G$5:$G$9,0))</x:f>
        <x:v>0</x:v>
      </x:c>
      <x:c r="R57" s="282" t="n">
        <x:f>IF(N57="",0,XLOOKUP(N57,'平台参数'!$A$5:$A$9,'平台参数'!$I$5:$I$9,0))</x:f>
        <x:v>0</x:v>
      </x:c>
      <x:c r="S57" s="282" t="n">
        <x:f>IF(O57=0,0,O57*(1-P57-Q57)-R57)</x:f>
        <x:v>0</x:v>
      </x:c>
      <x:c r="T57" s="282" t="n">
        <x:f>S57-K57</x:f>
        <x:v>0</x:v>
      </x:c>
      <x:c r="U57" s="293" t="n">
        <x:f>IFERROR(T57/K57,0)</x:f>
        <x:v>0</x:v>
      </x:c>
      <x:c r="V57" s="282" t="n">
        <x:f>IF(F57="",0,IF(M57="",TODAY()-F57,M57-F57))</x:f>
        <x:v>0</x:v>
      </x:c>
      <x:c r="W57" s="223"/>
      <x:c r="X57" s="223"/>
      <x:c r="Y57" s="223"/>
      <x:c r="Z57" s="223"/>
    </x:row>
    <x:row r="58">
      <x:c r="A58" s="223"/>
      <x:c r="B58" s="223"/>
      <x:c r="C58" s="223"/>
      <x:c r="D58" s="223"/>
      <x:c r="E58" s="223"/>
      <x:c r="F58" s="292"/>
      <x:c r="G58" s="223"/>
      <x:c r="H58" s="282"/>
      <x:c r="I58" s="293" t="n">
        <x:f>IF(G58="",0,XLOOKUP(G58,'平台参数'!$A$5:$A$9,'平台参数'!$E$5:$E$9,0)+XLOOKUP(G58,'平台参数'!$A$5:$A$9,'平台参数'!$G$5:$G$9,0))</x:f>
        <x:v>0</x:v>
      </x:c>
      <x:c r="J58" s="282" t="n">
        <x:f>IF(G58="",0,XLOOKUP(G58,'平台参数'!$A$5:$A$9,'平台参数'!$H$5:$H$9,0))</x:f>
        <x:v>0</x:v>
      </x:c>
      <x:c r="K58" s="282" t="n">
        <x:f>IF(H58=0,0,H58*(1+I58)+J58)</x:f>
        <x:v>0</x:v>
      </x:c>
      <x:c r="L58" s="292"/>
      <x:c r="M58" s="292"/>
      <x:c r="N58" s="223"/>
      <x:c r="O58" s="282"/>
      <x:c r="P58" s="293" t="n">
        <x:f>IF(N58="",0,XLOOKUP(N58,'平台参数'!$A$5:$A$9,'平台参数'!$F$5:$F$9,0))</x:f>
        <x:v>0</x:v>
      </x:c>
      <x:c r="Q58" s="293" t="n">
        <x:f>IF(N58="",0,XLOOKUP(N58,'平台参数'!$A$5:$A$9,'平台参数'!$G$5:$G$9,0))</x:f>
        <x:v>0</x:v>
      </x:c>
      <x:c r="R58" s="282" t="n">
        <x:f>IF(N58="",0,XLOOKUP(N58,'平台参数'!$A$5:$A$9,'平台参数'!$I$5:$I$9,0))</x:f>
        <x:v>0</x:v>
      </x:c>
      <x:c r="S58" s="282" t="n">
        <x:f>IF(O58=0,0,O58*(1-P58-Q58)-R58)</x:f>
        <x:v>0</x:v>
      </x:c>
      <x:c r="T58" s="282" t="n">
        <x:f>S58-K58</x:f>
        <x:v>0</x:v>
      </x:c>
      <x:c r="U58" s="293" t="n">
        <x:f>IFERROR(T58/K58,0)</x:f>
        <x:v>0</x:v>
      </x:c>
      <x:c r="V58" s="282" t="n">
        <x:f>IF(F58="",0,IF(M58="",TODAY()-F58,M58-F58))</x:f>
        <x:v>0</x:v>
      </x:c>
      <x:c r="W58" s="223"/>
      <x:c r="X58" s="223"/>
      <x:c r="Y58" s="223"/>
      <x:c r="Z58" s="223"/>
    </x:row>
    <x:row r="59">
      <x:c r="A59" s="223"/>
      <x:c r="B59" s="223"/>
      <x:c r="C59" s="223"/>
      <x:c r="D59" s="223"/>
      <x:c r="E59" s="223"/>
      <x:c r="F59" s="292"/>
      <x:c r="G59" s="223"/>
      <x:c r="H59" s="282"/>
      <x:c r="I59" s="293" t="n">
        <x:f>IF(G59="",0,XLOOKUP(G59,'平台参数'!$A$5:$A$9,'平台参数'!$E$5:$E$9,0)+XLOOKUP(G59,'平台参数'!$A$5:$A$9,'平台参数'!$G$5:$G$9,0))</x:f>
        <x:v>0</x:v>
      </x:c>
      <x:c r="J59" s="282" t="n">
        <x:f>IF(G59="",0,XLOOKUP(G59,'平台参数'!$A$5:$A$9,'平台参数'!$H$5:$H$9,0))</x:f>
        <x:v>0</x:v>
      </x:c>
      <x:c r="K59" s="282" t="n">
        <x:f>IF(H59=0,0,H59*(1+I59)+J59)</x:f>
        <x:v>0</x:v>
      </x:c>
      <x:c r="L59" s="292"/>
      <x:c r="M59" s="292"/>
      <x:c r="N59" s="223"/>
      <x:c r="O59" s="282"/>
      <x:c r="P59" s="293" t="n">
        <x:f>IF(N59="",0,XLOOKUP(N59,'平台参数'!$A$5:$A$9,'平台参数'!$F$5:$F$9,0))</x:f>
        <x:v>0</x:v>
      </x:c>
      <x:c r="Q59" s="293" t="n">
        <x:f>IF(N59="",0,XLOOKUP(N59,'平台参数'!$A$5:$A$9,'平台参数'!$G$5:$G$9,0))</x:f>
        <x:v>0</x:v>
      </x:c>
      <x:c r="R59" s="282" t="n">
        <x:f>IF(N59="",0,XLOOKUP(N59,'平台参数'!$A$5:$A$9,'平台参数'!$I$5:$I$9,0))</x:f>
        <x:v>0</x:v>
      </x:c>
      <x:c r="S59" s="282" t="n">
        <x:f>IF(O59=0,0,O59*(1-P59-Q59)-R59)</x:f>
        <x:v>0</x:v>
      </x:c>
      <x:c r="T59" s="282" t="n">
        <x:f>S59-K59</x:f>
        <x:v>0</x:v>
      </x:c>
      <x:c r="U59" s="293" t="n">
        <x:f>IFERROR(T59/K59,0)</x:f>
        <x:v>0</x:v>
      </x:c>
      <x:c r="V59" s="282" t="n">
        <x:f>IF(F59="",0,IF(M59="",TODAY()-F59,M59-F59))</x:f>
        <x:v>0</x:v>
      </x:c>
      <x:c r="W59" s="223"/>
      <x:c r="X59" s="223"/>
      <x:c r="Y59" s="223"/>
      <x:c r="Z59" s="223"/>
    </x:row>
    <x:row r="60">
      <x:c r="A60" s="223"/>
      <x:c r="B60" s="223"/>
      <x:c r="C60" s="223"/>
      <x:c r="D60" s="223"/>
      <x:c r="E60" s="223"/>
      <x:c r="F60" s="292"/>
      <x:c r="G60" s="223"/>
      <x:c r="H60" s="282"/>
      <x:c r="I60" s="293" t="n">
        <x:f>IF(G60="",0,XLOOKUP(G60,'平台参数'!$A$5:$A$9,'平台参数'!$E$5:$E$9,0)+XLOOKUP(G60,'平台参数'!$A$5:$A$9,'平台参数'!$G$5:$G$9,0))</x:f>
        <x:v>0</x:v>
      </x:c>
      <x:c r="J60" s="282" t="n">
        <x:f>IF(G60="",0,XLOOKUP(G60,'平台参数'!$A$5:$A$9,'平台参数'!$H$5:$H$9,0))</x:f>
        <x:v>0</x:v>
      </x:c>
      <x:c r="K60" s="282" t="n">
        <x:f>IF(H60=0,0,H60*(1+I60)+J60)</x:f>
        <x:v>0</x:v>
      </x:c>
      <x:c r="L60" s="292"/>
      <x:c r="M60" s="292"/>
      <x:c r="N60" s="223"/>
      <x:c r="O60" s="282"/>
      <x:c r="P60" s="293" t="n">
        <x:f>IF(N60="",0,XLOOKUP(N60,'平台参数'!$A$5:$A$9,'平台参数'!$F$5:$F$9,0))</x:f>
        <x:v>0</x:v>
      </x:c>
      <x:c r="Q60" s="293" t="n">
        <x:f>IF(N60="",0,XLOOKUP(N60,'平台参数'!$A$5:$A$9,'平台参数'!$G$5:$G$9,0))</x:f>
        <x:v>0</x:v>
      </x:c>
      <x:c r="R60" s="282" t="n">
        <x:f>IF(N60="",0,XLOOKUP(N60,'平台参数'!$A$5:$A$9,'平台参数'!$I$5:$I$9,0))</x:f>
        <x:v>0</x:v>
      </x:c>
      <x:c r="S60" s="282" t="n">
        <x:f>IF(O60=0,0,O60*(1-P60-Q60)-R60)</x:f>
        <x:v>0</x:v>
      </x:c>
      <x:c r="T60" s="282" t="n">
        <x:f>S60-K60</x:f>
        <x:v>0</x:v>
      </x:c>
      <x:c r="U60" s="293" t="n">
        <x:f>IFERROR(T60/K60,0)</x:f>
        <x:v>0</x:v>
      </x:c>
      <x:c r="V60" s="282" t="n">
        <x:f>IF(F60="",0,IF(M60="",TODAY()-F60,M60-F60))</x:f>
        <x:v>0</x:v>
      </x:c>
      <x:c r="W60" s="223"/>
      <x:c r="X60" s="223"/>
      <x:c r="Y60" s="223"/>
      <x:c r="Z60" s="223"/>
    </x:row>
    <x:row r="61">
      <x:c r="A61" s="223"/>
      <x:c r="B61" s="223"/>
      <x:c r="C61" s="223"/>
      <x:c r="D61" s="223"/>
      <x:c r="E61" s="223"/>
      <x:c r="F61" s="292"/>
      <x:c r="G61" s="223"/>
      <x:c r="H61" s="282"/>
      <x:c r="I61" s="293" t="n">
        <x:f>IF(G61="",0,XLOOKUP(G61,'平台参数'!$A$5:$A$9,'平台参数'!$E$5:$E$9,0)+XLOOKUP(G61,'平台参数'!$A$5:$A$9,'平台参数'!$G$5:$G$9,0))</x:f>
        <x:v>0</x:v>
      </x:c>
      <x:c r="J61" s="282" t="n">
        <x:f>IF(G61="",0,XLOOKUP(G61,'平台参数'!$A$5:$A$9,'平台参数'!$H$5:$H$9,0))</x:f>
        <x:v>0</x:v>
      </x:c>
      <x:c r="K61" s="282" t="n">
        <x:f>IF(H61=0,0,H61*(1+I61)+J61)</x:f>
        <x:v>0</x:v>
      </x:c>
      <x:c r="L61" s="292"/>
      <x:c r="M61" s="292"/>
      <x:c r="N61" s="223"/>
      <x:c r="O61" s="282"/>
      <x:c r="P61" s="293" t="n">
        <x:f>IF(N61="",0,XLOOKUP(N61,'平台参数'!$A$5:$A$9,'平台参数'!$F$5:$F$9,0))</x:f>
        <x:v>0</x:v>
      </x:c>
      <x:c r="Q61" s="293" t="n">
        <x:f>IF(N61="",0,XLOOKUP(N61,'平台参数'!$A$5:$A$9,'平台参数'!$G$5:$G$9,0))</x:f>
        <x:v>0</x:v>
      </x:c>
      <x:c r="R61" s="282" t="n">
        <x:f>IF(N61="",0,XLOOKUP(N61,'平台参数'!$A$5:$A$9,'平台参数'!$I$5:$I$9,0))</x:f>
        <x:v>0</x:v>
      </x:c>
      <x:c r="S61" s="282" t="n">
        <x:f>IF(O61=0,0,O61*(1-P61-Q61)-R61)</x:f>
        <x:v>0</x:v>
      </x:c>
      <x:c r="T61" s="282" t="n">
        <x:f>S61-K61</x:f>
        <x:v>0</x:v>
      </x:c>
      <x:c r="U61" s="293" t="n">
        <x:f>IFERROR(T61/K61,0)</x:f>
        <x:v>0</x:v>
      </x:c>
      <x:c r="V61" s="282" t="n">
        <x:f>IF(F61="",0,IF(M61="",TODAY()-F61,M61-F61))</x:f>
        <x:v>0</x:v>
      </x:c>
      <x:c r="W61" s="223"/>
      <x:c r="X61" s="223"/>
      <x:c r="Y61" s="223"/>
      <x:c r="Z61" s="223"/>
    </x:row>
    <x:row r="62">
      <x:c r="A62" s="223"/>
      <x:c r="B62" s="223"/>
      <x:c r="C62" s="223"/>
      <x:c r="D62" s="223"/>
      <x:c r="E62" s="223"/>
      <x:c r="F62" s="292"/>
      <x:c r="G62" s="223"/>
      <x:c r="H62" s="282"/>
      <x:c r="I62" s="293" t="n">
        <x:f>IF(G62="",0,XLOOKUP(G62,'平台参数'!$A$5:$A$9,'平台参数'!$E$5:$E$9,0)+XLOOKUP(G62,'平台参数'!$A$5:$A$9,'平台参数'!$G$5:$G$9,0))</x:f>
        <x:v>0</x:v>
      </x:c>
      <x:c r="J62" s="282" t="n">
        <x:f>IF(G62="",0,XLOOKUP(G62,'平台参数'!$A$5:$A$9,'平台参数'!$H$5:$H$9,0))</x:f>
        <x:v>0</x:v>
      </x:c>
      <x:c r="K62" s="282" t="n">
        <x:f>IF(H62=0,0,H62*(1+I62)+J62)</x:f>
        <x:v>0</x:v>
      </x:c>
      <x:c r="L62" s="292"/>
      <x:c r="M62" s="292"/>
      <x:c r="N62" s="223"/>
      <x:c r="O62" s="282"/>
      <x:c r="P62" s="293" t="n">
        <x:f>IF(N62="",0,XLOOKUP(N62,'平台参数'!$A$5:$A$9,'平台参数'!$F$5:$F$9,0))</x:f>
        <x:v>0</x:v>
      </x:c>
      <x:c r="Q62" s="293" t="n">
        <x:f>IF(N62="",0,XLOOKUP(N62,'平台参数'!$A$5:$A$9,'平台参数'!$G$5:$G$9,0))</x:f>
        <x:v>0</x:v>
      </x:c>
      <x:c r="R62" s="282" t="n">
        <x:f>IF(N62="",0,XLOOKUP(N62,'平台参数'!$A$5:$A$9,'平台参数'!$I$5:$I$9,0))</x:f>
        <x:v>0</x:v>
      </x:c>
      <x:c r="S62" s="282" t="n">
        <x:f>IF(O62=0,0,O62*(1-P62-Q62)-R62)</x:f>
        <x:v>0</x:v>
      </x:c>
      <x:c r="T62" s="282" t="n">
        <x:f>S62-K62</x:f>
        <x:v>0</x:v>
      </x:c>
      <x:c r="U62" s="293" t="n">
        <x:f>IFERROR(T62/K62,0)</x:f>
        <x:v>0</x:v>
      </x:c>
      <x:c r="V62" s="282" t="n">
        <x:f>IF(F62="",0,IF(M62="",TODAY()-F62,M62-F62))</x:f>
        <x:v>0</x:v>
      </x:c>
      <x:c r="W62" s="223"/>
      <x:c r="X62" s="223"/>
      <x:c r="Y62" s="223"/>
      <x:c r="Z62" s="223"/>
    </x:row>
    <x:row r="63">
      <x:c r="A63" s="223"/>
      <x:c r="B63" s="223"/>
      <x:c r="C63" s="223"/>
      <x:c r="D63" s="223"/>
      <x:c r="E63" s="223"/>
      <x:c r="F63" s="292"/>
      <x:c r="G63" s="223"/>
      <x:c r="H63" s="282"/>
      <x:c r="I63" s="293" t="n">
        <x:f>IF(G63="",0,XLOOKUP(G63,'平台参数'!$A$5:$A$9,'平台参数'!$E$5:$E$9,0)+XLOOKUP(G63,'平台参数'!$A$5:$A$9,'平台参数'!$G$5:$G$9,0))</x:f>
        <x:v>0</x:v>
      </x:c>
      <x:c r="J63" s="282" t="n">
        <x:f>IF(G63="",0,XLOOKUP(G63,'平台参数'!$A$5:$A$9,'平台参数'!$H$5:$H$9,0))</x:f>
        <x:v>0</x:v>
      </x:c>
      <x:c r="K63" s="282" t="n">
        <x:f>IF(H63=0,0,H63*(1+I63)+J63)</x:f>
        <x:v>0</x:v>
      </x:c>
      <x:c r="L63" s="292"/>
      <x:c r="M63" s="292"/>
      <x:c r="N63" s="223"/>
      <x:c r="O63" s="282"/>
      <x:c r="P63" s="293" t="n">
        <x:f>IF(N63="",0,XLOOKUP(N63,'平台参数'!$A$5:$A$9,'平台参数'!$F$5:$F$9,0))</x:f>
        <x:v>0</x:v>
      </x:c>
      <x:c r="Q63" s="293" t="n">
        <x:f>IF(N63="",0,XLOOKUP(N63,'平台参数'!$A$5:$A$9,'平台参数'!$G$5:$G$9,0))</x:f>
        <x:v>0</x:v>
      </x:c>
      <x:c r="R63" s="282" t="n">
        <x:f>IF(N63="",0,XLOOKUP(N63,'平台参数'!$A$5:$A$9,'平台参数'!$I$5:$I$9,0))</x:f>
        <x:v>0</x:v>
      </x:c>
      <x:c r="S63" s="282" t="n">
        <x:f>IF(O63=0,0,O63*(1-P63-Q63)-R63)</x:f>
        <x:v>0</x:v>
      </x:c>
      <x:c r="T63" s="282" t="n">
        <x:f>S63-K63</x:f>
        <x:v>0</x:v>
      </x:c>
      <x:c r="U63" s="293" t="n">
        <x:f>IFERROR(T63/K63,0)</x:f>
        <x:v>0</x:v>
      </x:c>
      <x:c r="V63" s="282" t="n">
        <x:f>IF(F63="",0,IF(M63="",TODAY()-F63,M63-F63))</x:f>
        <x:v>0</x:v>
      </x:c>
      <x:c r="W63" s="223"/>
      <x:c r="X63" s="223"/>
      <x:c r="Y63" s="223"/>
      <x:c r="Z63" s="223"/>
    </x:row>
    <x:row r="64">
      <x:c r="A64" s="223"/>
      <x:c r="B64" s="223"/>
      <x:c r="C64" s="223"/>
      <x:c r="D64" s="223"/>
      <x:c r="E64" s="223"/>
      <x:c r="F64" s="292"/>
      <x:c r="G64" s="223"/>
      <x:c r="H64" s="282"/>
      <x:c r="I64" s="293" t="n">
        <x:f>IF(G64="",0,XLOOKUP(G64,'平台参数'!$A$5:$A$9,'平台参数'!$E$5:$E$9,0)+XLOOKUP(G64,'平台参数'!$A$5:$A$9,'平台参数'!$G$5:$G$9,0))</x:f>
        <x:v>0</x:v>
      </x:c>
      <x:c r="J64" s="282" t="n">
        <x:f>IF(G64="",0,XLOOKUP(G64,'平台参数'!$A$5:$A$9,'平台参数'!$H$5:$H$9,0))</x:f>
        <x:v>0</x:v>
      </x:c>
      <x:c r="K64" s="282" t="n">
        <x:f>IF(H64=0,0,H64*(1+I64)+J64)</x:f>
        <x:v>0</x:v>
      </x:c>
      <x:c r="L64" s="292"/>
      <x:c r="M64" s="292"/>
      <x:c r="N64" s="223"/>
      <x:c r="O64" s="282"/>
      <x:c r="P64" s="293" t="n">
        <x:f>IF(N64="",0,XLOOKUP(N64,'平台参数'!$A$5:$A$9,'平台参数'!$F$5:$F$9,0))</x:f>
        <x:v>0</x:v>
      </x:c>
      <x:c r="Q64" s="293" t="n">
        <x:f>IF(N64="",0,XLOOKUP(N64,'平台参数'!$A$5:$A$9,'平台参数'!$G$5:$G$9,0))</x:f>
        <x:v>0</x:v>
      </x:c>
      <x:c r="R64" s="282" t="n">
        <x:f>IF(N64="",0,XLOOKUP(N64,'平台参数'!$A$5:$A$9,'平台参数'!$I$5:$I$9,0))</x:f>
        <x:v>0</x:v>
      </x:c>
      <x:c r="S64" s="282" t="n">
        <x:f>IF(O64=0,0,O64*(1-P64-Q64)-R64)</x:f>
        <x:v>0</x:v>
      </x:c>
      <x:c r="T64" s="282" t="n">
        <x:f>S64-K64</x:f>
        <x:v>0</x:v>
      </x:c>
      <x:c r="U64" s="293" t="n">
        <x:f>IFERROR(T64/K64,0)</x:f>
        <x:v>0</x:v>
      </x:c>
      <x:c r="V64" s="282" t="n">
        <x:f>IF(F64="",0,IF(M64="",TODAY()-F64,M64-F64))</x:f>
        <x:v>0</x:v>
      </x:c>
      <x:c r="W64" s="223"/>
      <x:c r="X64" s="223"/>
      <x:c r="Y64" s="223"/>
      <x:c r="Z64" s="223"/>
    </x:row>
    <x:row r="65">
      <x:c r="A65" s="223"/>
      <x:c r="B65" s="223"/>
      <x:c r="C65" s="223"/>
      <x:c r="D65" s="223"/>
      <x:c r="E65" s="223"/>
      <x:c r="F65" s="292"/>
      <x:c r="G65" s="223"/>
      <x:c r="H65" s="282"/>
      <x:c r="I65" s="293" t="n">
        <x:f>IF(G65="",0,XLOOKUP(G65,'平台参数'!$A$5:$A$9,'平台参数'!$E$5:$E$9,0)+XLOOKUP(G65,'平台参数'!$A$5:$A$9,'平台参数'!$G$5:$G$9,0))</x:f>
        <x:v>0</x:v>
      </x:c>
      <x:c r="J65" s="282" t="n">
        <x:f>IF(G65="",0,XLOOKUP(G65,'平台参数'!$A$5:$A$9,'平台参数'!$H$5:$H$9,0))</x:f>
        <x:v>0</x:v>
      </x:c>
      <x:c r="K65" s="282" t="n">
        <x:f>IF(H65=0,0,H65*(1+I65)+J65)</x:f>
        <x:v>0</x:v>
      </x:c>
      <x:c r="L65" s="292"/>
      <x:c r="M65" s="292"/>
      <x:c r="N65" s="223"/>
      <x:c r="O65" s="282"/>
      <x:c r="P65" s="293" t="n">
        <x:f>IF(N65="",0,XLOOKUP(N65,'平台参数'!$A$5:$A$9,'平台参数'!$F$5:$F$9,0))</x:f>
        <x:v>0</x:v>
      </x:c>
      <x:c r="Q65" s="293" t="n">
        <x:f>IF(N65="",0,XLOOKUP(N65,'平台参数'!$A$5:$A$9,'平台参数'!$G$5:$G$9,0))</x:f>
        <x:v>0</x:v>
      </x:c>
      <x:c r="R65" s="282" t="n">
        <x:f>IF(N65="",0,XLOOKUP(N65,'平台参数'!$A$5:$A$9,'平台参数'!$I$5:$I$9,0))</x:f>
        <x:v>0</x:v>
      </x:c>
      <x:c r="S65" s="282" t="n">
        <x:f>IF(O65=0,0,O65*(1-P65-Q65)-R65)</x:f>
        <x:v>0</x:v>
      </x:c>
      <x:c r="T65" s="282" t="n">
        <x:f>S65-K65</x:f>
        <x:v>0</x:v>
      </x:c>
      <x:c r="U65" s="293" t="n">
        <x:f>IFERROR(T65/K65,0)</x:f>
        <x:v>0</x:v>
      </x:c>
      <x:c r="V65" s="282" t="n">
        <x:f>IF(F65="",0,IF(M65="",TODAY()-F65,M65-F65))</x:f>
        <x:v>0</x:v>
      </x:c>
      <x:c r="W65" s="223"/>
      <x:c r="X65" s="223"/>
      <x:c r="Y65" s="223"/>
      <x:c r="Z65" s="223"/>
    </x:row>
    <x:row r="66">
      <x:c r="A66" s="223"/>
      <x:c r="B66" s="223"/>
      <x:c r="C66" s="223"/>
      <x:c r="D66" s="223"/>
      <x:c r="E66" s="223"/>
      <x:c r="F66" s="292"/>
      <x:c r="G66" s="223"/>
      <x:c r="H66" s="282"/>
      <x:c r="I66" s="293" t="n">
        <x:f>IF(G66="",0,XLOOKUP(G66,'平台参数'!$A$5:$A$9,'平台参数'!$E$5:$E$9,0)+XLOOKUP(G66,'平台参数'!$A$5:$A$9,'平台参数'!$G$5:$G$9,0))</x:f>
        <x:v>0</x:v>
      </x:c>
      <x:c r="J66" s="282" t="n">
        <x:f>IF(G66="",0,XLOOKUP(G66,'平台参数'!$A$5:$A$9,'平台参数'!$H$5:$H$9,0))</x:f>
        <x:v>0</x:v>
      </x:c>
      <x:c r="K66" s="282" t="n">
        <x:f>IF(H66=0,0,H66*(1+I66)+J66)</x:f>
        <x:v>0</x:v>
      </x:c>
      <x:c r="L66" s="292"/>
      <x:c r="M66" s="292"/>
      <x:c r="N66" s="223"/>
      <x:c r="O66" s="282"/>
      <x:c r="P66" s="293" t="n">
        <x:f>IF(N66="",0,XLOOKUP(N66,'平台参数'!$A$5:$A$9,'平台参数'!$F$5:$F$9,0))</x:f>
        <x:v>0</x:v>
      </x:c>
      <x:c r="Q66" s="293" t="n">
        <x:f>IF(N66="",0,XLOOKUP(N66,'平台参数'!$A$5:$A$9,'平台参数'!$G$5:$G$9,0))</x:f>
        <x:v>0</x:v>
      </x:c>
      <x:c r="R66" s="282" t="n">
        <x:f>IF(N66="",0,XLOOKUP(N66,'平台参数'!$A$5:$A$9,'平台参数'!$I$5:$I$9,0))</x:f>
        <x:v>0</x:v>
      </x:c>
      <x:c r="S66" s="282" t="n">
        <x:f>IF(O66=0,0,O66*(1-P66-Q66)-R66)</x:f>
        <x:v>0</x:v>
      </x:c>
      <x:c r="T66" s="282" t="n">
        <x:f>S66-K66</x:f>
        <x:v>0</x:v>
      </x:c>
      <x:c r="U66" s="293" t="n">
        <x:f>IFERROR(T66/K66,0)</x:f>
        <x:v>0</x:v>
      </x:c>
      <x:c r="V66" s="282" t="n">
        <x:f>IF(F66="",0,IF(M66="",TODAY()-F66,M66-F66))</x:f>
        <x:v>0</x:v>
      </x:c>
      <x:c r="W66" s="223"/>
      <x:c r="X66" s="223"/>
      <x:c r="Y66" s="223"/>
      <x:c r="Z66" s="223"/>
    </x:row>
    <x:row r="67">
      <x:c r="A67" s="223"/>
      <x:c r="B67" s="223"/>
      <x:c r="C67" s="223"/>
      <x:c r="D67" s="223"/>
      <x:c r="E67" s="223"/>
      <x:c r="F67" s="292"/>
      <x:c r="G67" s="223"/>
      <x:c r="H67" s="282"/>
      <x:c r="I67" s="293" t="n">
        <x:f>IF(G67="",0,XLOOKUP(G67,'平台参数'!$A$5:$A$9,'平台参数'!$E$5:$E$9,0)+XLOOKUP(G67,'平台参数'!$A$5:$A$9,'平台参数'!$G$5:$G$9,0))</x:f>
        <x:v>0</x:v>
      </x:c>
      <x:c r="J67" s="282" t="n">
        <x:f>IF(G67="",0,XLOOKUP(G67,'平台参数'!$A$5:$A$9,'平台参数'!$H$5:$H$9,0))</x:f>
        <x:v>0</x:v>
      </x:c>
      <x:c r="K67" s="282" t="n">
        <x:f>IF(H67=0,0,H67*(1+I67)+J67)</x:f>
        <x:v>0</x:v>
      </x:c>
      <x:c r="L67" s="292"/>
      <x:c r="M67" s="292"/>
      <x:c r="N67" s="223"/>
      <x:c r="O67" s="282"/>
      <x:c r="P67" s="293" t="n">
        <x:f>IF(N67="",0,XLOOKUP(N67,'平台参数'!$A$5:$A$9,'平台参数'!$F$5:$F$9,0))</x:f>
        <x:v>0</x:v>
      </x:c>
      <x:c r="Q67" s="293" t="n">
        <x:f>IF(N67="",0,XLOOKUP(N67,'平台参数'!$A$5:$A$9,'平台参数'!$G$5:$G$9,0))</x:f>
        <x:v>0</x:v>
      </x:c>
      <x:c r="R67" s="282" t="n">
        <x:f>IF(N67="",0,XLOOKUP(N67,'平台参数'!$A$5:$A$9,'平台参数'!$I$5:$I$9,0))</x:f>
        <x:v>0</x:v>
      </x:c>
      <x:c r="S67" s="282" t="n">
        <x:f>IF(O67=0,0,O67*(1-P67-Q67)-R67)</x:f>
        <x:v>0</x:v>
      </x:c>
      <x:c r="T67" s="282" t="n">
        <x:f>S67-K67</x:f>
        <x:v>0</x:v>
      </x:c>
      <x:c r="U67" s="293" t="n">
        <x:f>IFERROR(T67/K67,0)</x:f>
        <x:v>0</x:v>
      </x:c>
      <x:c r="V67" s="282" t="n">
        <x:f>IF(F67="",0,IF(M67="",TODAY()-F67,M67-F67))</x:f>
        <x:v>0</x:v>
      </x:c>
      <x:c r="W67" s="223"/>
      <x:c r="X67" s="223"/>
      <x:c r="Y67" s="223"/>
      <x:c r="Z67" s="223"/>
    </x:row>
    <x:row r="68">
      <x:c r="A68" s="223"/>
      <x:c r="B68" s="223"/>
      <x:c r="C68" s="223"/>
      <x:c r="D68" s="223"/>
      <x:c r="E68" s="223"/>
      <x:c r="F68" s="292"/>
      <x:c r="G68" s="223"/>
      <x:c r="H68" s="282"/>
      <x:c r="I68" s="293" t="n">
        <x:f>IF(G68="",0,XLOOKUP(G68,'平台参数'!$A$5:$A$9,'平台参数'!$E$5:$E$9,0)+XLOOKUP(G68,'平台参数'!$A$5:$A$9,'平台参数'!$G$5:$G$9,0))</x:f>
        <x:v>0</x:v>
      </x:c>
      <x:c r="J68" s="282" t="n">
        <x:f>IF(G68="",0,XLOOKUP(G68,'平台参数'!$A$5:$A$9,'平台参数'!$H$5:$H$9,0))</x:f>
        <x:v>0</x:v>
      </x:c>
      <x:c r="K68" s="282" t="n">
        <x:f>IF(H68=0,0,H68*(1+I68)+J68)</x:f>
        <x:v>0</x:v>
      </x:c>
      <x:c r="L68" s="292"/>
      <x:c r="M68" s="292"/>
      <x:c r="N68" s="223"/>
      <x:c r="O68" s="282"/>
      <x:c r="P68" s="293" t="n">
        <x:f>IF(N68="",0,XLOOKUP(N68,'平台参数'!$A$5:$A$9,'平台参数'!$F$5:$F$9,0))</x:f>
        <x:v>0</x:v>
      </x:c>
      <x:c r="Q68" s="293" t="n">
        <x:f>IF(N68="",0,XLOOKUP(N68,'平台参数'!$A$5:$A$9,'平台参数'!$G$5:$G$9,0))</x:f>
        <x:v>0</x:v>
      </x:c>
      <x:c r="R68" s="282" t="n">
        <x:f>IF(N68="",0,XLOOKUP(N68,'平台参数'!$A$5:$A$9,'平台参数'!$I$5:$I$9,0))</x:f>
        <x:v>0</x:v>
      </x:c>
      <x:c r="S68" s="282" t="n">
        <x:f>IF(O68=0,0,O68*(1-P68-Q68)-R68)</x:f>
        <x:v>0</x:v>
      </x:c>
      <x:c r="T68" s="282" t="n">
        <x:f>S68-K68</x:f>
        <x:v>0</x:v>
      </x:c>
      <x:c r="U68" s="293" t="n">
        <x:f>IFERROR(T68/K68,0)</x:f>
        <x:v>0</x:v>
      </x:c>
      <x:c r="V68" s="282" t="n">
        <x:f>IF(F68="",0,IF(M68="",TODAY()-F68,M68-F68))</x:f>
        <x:v>0</x:v>
      </x:c>
      <x:c r="W68" s="223"/>
      <x:c r="X68" s="223"/>
      <x:c r="Y68" s="223"/>
      <x:c r="Z68" s="223"/>
    </x:row>
    <x:row r="69">
      <x:c r="A69" s="223"/>
      <x:c r="B69" s="223"/>
      <x:c r="C69" s="223"/>
      <x:c r="D69" s="223"/>
      <x:c r="E69" s="223"/>
      <x:c r="F69" s="292"/>
      <x:c r="G69" s="223"/>
      <x:c r="H69" s="282"/>
      <x:c r="I69" s="293" t="n">
        <x:f>IF(G69="",0,XLOOKUP(G69,'平台参数'!$A$5:$A$9,'平台参数'!$E$5:$E$9,0)+XLOOKUP(G69,'平台参数'!$A$5:$A$9,'平台参数'!$G$5:$G$9,0))</x:f>
        <x:v>0</x:v>
      </x:c>
      <x:c r="J69" s="282" t="n">
        <x:f>IF(G69="",0,XLOOKUP(G69,'平台参数'!$A$5:$A$9,'平台参数'!$H$5:$H$9,0))</x:f>
        <x:v>0</x:v>
      </x:c>
      <x:c r="K69" s="282" t="n">
        <x:f>IF(H69=0,0,H69*(1+I69)+J69)</x:f>
        <x:v>0</x:v>
      </x:c>
      <x:c r="L69" s="292"/>
      <x:c r="M69" s="292"/>
      <x:c r="N69" s="223"/>
      <x:c r="O69" s="282"/>
      <x:c r="P69" s="293" t="n">
        <x:f>IF(N69="",0,XLOOKUP(N69,'平台参数'!$A$5:$A$9,'平台参数'!$F$5:$F$9,0))</x:f>
        <x:v>0</x:v>
      </x:c>
      <x:c r="Q69" s="293" t="n">
        <x:f>IF(N69="",0,XLOOKUP(N69,'平台参数'!$A$5:$A$9,'平台参数'!$G$5:$G$9,0))</x:f>
        <x:v>0</x:v>
      </x:c>
      <x:c r="R69" s="282" t="n">
        <x:f>IF(N69="",0,XLOOKUP(N69,'平台参数'!$A$5:$A$9,'平台参数'!$I$5:$I$9,0))</x:f>
        <x:v>0</x:v>
      </x:c>
      <x:c r="S69" s="282" t="n">
        <x:f>IF(O69=0,0,O69*(1-P69-Q69)-R69)</x:f>
        <x:v>0</x:v>
      </x:c>
      <x:c r="T69" s="282" t="n">
        <x:f>S69-K69</x:f>
        <x:v>0</x:v>
      </x:c>
      <x:c r="U69" s="293" t="n">
        <x:f>IFERROR(T69/K69,0)</x:f>
        <x:v>0</x:v>
      </x:c>
      <x:c r="V69" s="282" t="n">
        <x:f>IF(F69="",0,IF(M69="",TODAY()-F69,M69-F69))</x:f>
        <x:v>0</x:v>
      </x:c>
      <x:c r="W69" s="223"/>
      <x:c r="X69" s="223"/>
      <x:c r="Y69" s="223"/>
      <x:c r="Z69" s="223"/>
    </x:row>
    <x:row r="70">
      <x:c r="A70" s="223"/>
      <x:c r="B70" s="223"/>
      <x:c r="C70" s="223"/>
      <x:c r="D70" s="223"/>
      <x:c r="E70" s="223"/>
      <x:c r="F70" s="292"/>
      <x:c r="G70" s="223"/>
      <x:c r="H70" s="282"/>
      <x:c r="I70" s="293" t="n">
        <x:f>IF(G70="",0,XLOOKUP(G70,'平台参数'!$A$5:$A$9,'平台参数'!$E$5:$E$9,0)+XLOOKUP(G70,'平台参数'!$A$5:$A$9,'平台参数'!$G$5:$G$9,0))</x:f>
        <x:v>0</x:v>
      </x:c>
      <x:c r="J70" s="282" t="n">
        <x:f>IF(G70="",0,XLOOKUP(G70,'平台参数'!$A$5:$A$9,'平台参数'!$H$5:$H$9,0))</x:f>
        <x:v>0</x:v>
      </x:c>
      <x:c r="K70" s="282" t="n">
        <x:f>IF(H70=0,0,H70*(1+I70)+J70)</x:f>
        <x:v>0</x:v>
      </x:c>
      <x:c r="L70" s="292"/>
      <x:c r="M70" s="292"/>
      <x:c r="N70" s="223"/>
      <x:c r="O70" s="282"/>
      <x:c r="P70" s="293" t="n">
        <x:f>IF(N70="",0,XLOOKUP(N70,'平台参数'!$A$5:$A$9,'平台参数'!$F$5:$F$9,0))</x:f>
        <x:v>0</x:v>
      </x:c>
      <x:c r="Q70" s="293" t="n">
        <x:f>IF(N70="",0,XLOOKUP(N70,'平台参数'!$A$5:$A$9,'平台参数'!$G$5:$G$9,0))</x:f>
        <x:v>0</x:v>
      </x:c>
      <x:c r="R70" s="282" t="n">
        <x:f>IF(N70="",0,XLOOKUP(N70,'平台参数'!$A$5:$A$9,'平台参数'!$I$5:$I$9,0))</x:f>
        <x:v>0</x:v>
      </x:c>
      <x:c r="S70" s="282" t="n">
        <x:f>IF(O70=0,0,O70*(1-P70-Q70)-R70)</x:f>
        <x:v>0</x:v>
      </x:c>
      <x:c r="T70" s="282" t="n">
        <x:f>S70-K70</x:f>
        <x:v>0</x:v>
      </x:c>
      <x:c r="U70" s="293" t="n">
        <x:f>IFERROR(T70/K70,0)</x:f>
        <x:v>0</x:v>
      </x:c>
      <x:c r="V70" s="282" t="n">
        <x:f>IF(F70="",0,IF(M70="",TODAY()-F70,M70-F70))</x:f>
        <x:v>0</x:v>
      </x:c>
      <x:c r="W70" s="223"/>
      <x:c r="X70" s="223"/>
      <x:c r="Y70" s="223"/>
      <x:c r="Z70" s="223"/>
    </x:row>
    <x:row r="71">
      <x:c r="A71" s="223"/>
      <x:c r="B71" s="223"/>
      <x:c r="C71" s="223"/>
      <x:c r="D71" s="223"/>
      <x:c r="E71" s="223"/>
      <x:c r="F71" s="292"/>
      <x:c r="G71" s="223"/>
      <x:c r="H71" s="282"/>
      <x:c r="I71" s="293" t="n">
        <x:f>IF(G71="",0,XLOOKUP(G71,'平台参数'!$A$5:$A$9,'平台参数'!$E$5:$E$9,0)+XLOOKUP(G71,'平台参数'!$A$5:$A$9,'平台参数'!$G$5:$G$9,0))</x:f>
        <x:v>0</x:v>
      </x:c>
      <x:c r="J71" s="282" t="n">
        <x:f>IF(G71="",0,XLOOKUP(G71,'平台参数'!$A$5:$A$9,'平台参数'!$H$5:$H$9,0))</x:f>
        <x:v>0</x:v>
      </x:c>
      <x:c r="K71" s="282" t="n">
        <x:f>IF(H71=0,0,H71*(1+I71)+J71)</x:f>
        <x:v>0</x:v>
      </x:c>
      <x:c r="L71" s="292"/>
      <x:c r="M71" s="292"/>
      <x:c r="N71" s="223"/>
      <x:c r="O71" s="282"/>
      <x:c r="P71" s="293" t="n">
        <x:f>IF(N71="",0,XLOOKUP(N71,'平台参数'!$A$5:$A$9,'平台参数'!$F$5:$F$9,0))</x:f>
        <x:v>0</x:v>
      </x:c>
      <x:c r="Q71" s="293" t="n">
        <x:f>IF(N71="",0,XLOOKUP(N71,'平台参数'!$A$5:$A$9,'平台参数'!$G$5:$G$9,0))</x:f>
        <x:v>0</x:v>
      </x:c>
      <x:c r="R71" s="282" t="n">
        <x:f>IF(N71="",0,XLOOKUP(N71,'平台参数'!$A$5:$A$9,'平台参数'!$I$5:$I$9,0))</x:f>
        <x:v>0</x:v>
      </x:c>
      <x:c r="S71" s="282" t="n">
        <x:f>IF(O71=0,0,O71*(1-P71-Q71)-R71)</x:f>
        <x:v>0</x:v>
      </x:c>
      <x:c r="T71" s="282" t="n">
        <x:f>S71-K71</x:f>
        <x:v>0</x:v>
      </x:c>
      <x:c r="U71" s="293" t="n">
        <x:f>IFERROR(T71/K71,0)</x:f>
        <x:v>0</x:v>
      </x:c>
      <x:c r="V71" s="282" t="n">
        <x:f>IF(F71="",0,IF(M71="",TODAY()-F71,M71-F71))</x:f>
        <x:v>0</x:v>
      </x:c>
      <x:c r="W71" s="223"/>
      <x:c r="X71" s="223"/>
      <x:c r="Y71" s="223"/>
      <x:c r="Z71" s="223"/>
    </x:row>
    <x:row r="72">
      <x:c r="A72" s="223"/>
      <x:c r="B72" s="223"/>
      <x:c r="C72" s="223"/>
      <x:c r="D72" s="223"/>
      <x:c r="E72" s="223"/>
      <x:c r="F72" s="292"/>
      <x:c r="G72" s="223"/>
      <x:c r="H72" s="282"/>
      <x:c r="I72" s="293" t="n">
        <x:f>IF(G72="",0,XLOOKUP(G72,'平台参数'!$A$5:$A$9,'平台参数'!$E$5:$E$9,0)+XLOOKUP(G72,'平台参数'!$A$5:$A$9,'平台参数'!$G$5:$G$9,0))</x:f>
        <x:v>0</x:v>
      </x:c>
      <x:c r="J72" s="282" t="n">
        <x:f>IF(G72="",0,XLOOKUP(G72,'平台参数'!$A$5:$A$9,'平台参数'!$H$5:$H$9,0))</x:f>
        <x:v>0</x:v>
      </x:c>
      <x:c r="K72" s="282" t="n">
        <x:f>IF(H72=0,0,H72*(1+I72)+J72)</x:f>
        <x:v>0</x:v>
      </x:c>
      <x:c r="L72" s="292"/>
      <x:c r="M72" s="292"/>
      <x:c r="N72" s="223"/>
      <x:c r="O72" s="282"/>
      <x:c r="P72" s="293" t="n">
        <x:f>IF(N72="",0,XLOOKUP(N72,'平台参数'!$A$5:$A$9,'平台参数'!$F$5:$F$9,0))</x:f>
        <x:v>0</x:v>
      </x:c>
      <x:c r="Q72" s="293" t="n">
        <x:f>IF(N72="",0,XLOOKUP(N72,'平台参数'!$A$5:$A$9,'平台参数'!$G$5:$G$9,0))</x:f>
        <x:v>0</x:v>
      </x:c>
      <x:c r="R72" s="282" t="n">
        <x:f>IF(N72="",0,XLOOKUP(N72,'平台参数'!$A$5:$A$9,'平台参数'!$I$5:$I$9,0))</x:f>
        <x:v>0</x:v>
      </x:c>
      <x:c r="S72" s="282" t="n">
        <x:f>IF(O72=0,0,O72*(1-P72-Q72)-R72)</x:f>
        <x:v>0</x:v>
      </x:c>
      <x:c r="T72" s="282" t="n">
        <x:f>S72-K72</x:f>
        <x:v>0</x:v>
      </x:c>
      <x:c r="U72" s="293" t="n">
        <x:f>IFERROR(T72/K72,0)</x:f>
        <x:v>0</x:v>
      </x:c>
      <x:c r="V72" s="282" t="n">
        <x:f>IF(F72="",0,IF(M72="",TODAY()-F72,M72-F72))</x:f>
        <x:v>0</x:v>
      </x:c>
      <x:c r="W72" s="223"/>
      <x:c r="X72" s="223"/>
      <x:c r="Y72" s="223"/>
      <x:c r="Z72" s="223"/>
    </x:row>
    <x:row r="73">
      <x:c r="A73" s="223"/>
      <x:c r="B73" s="223"/>
      <x:c r="C73" s="223"/>
      <x:c r="D73" s="223"/>
      <x:c r="E73" s="223"/>
      <x:c r="F73" s="292"/>
      <x:c r="G73" s="223"/>
      <x:c r="H73" s="282"/>
      <x:c r="I73" s="293" t="n">
        <x:f>IF(G73="",0,XLOOKUP(G73,'平台参数'!$A$5:$A$9,'平台参数'!$E$5:$E$9,0)+XLOOKUP(G73,'平台参数'!$A$5:$A$9,'平台参数'!$G$5:$G$9,0))</x:f>
        <x:v>0</x:v>
      </x:c>
      <x:c r="J73" s="282" t="n">
        <x:f>IF(G73="",0,XLOOKUP(G73,'平台参数'!$A$5:$A$9,'平台参数'!$H$5:$H$9,0))</x:f>
        <x:v>0</x:v>
      </x:c>
      <x:c r="K73" s="282" t="n">
        <x:f>IF(H73=0,0,H73*(1+I73)+J73)</x:f>
        <x:v>0</x:v>
      </x:c>
      <x:c r="L73" s="292"/>
      <x:c r="M73" s="292"/>
      <x:c r="N73" s="223"/>
      <x:c r="O73" s="282"/>
      <x:c r="P73" s="293" t="n">
        <x:f>IF(N73="",0,XLOOKUP(N73,'平台参数'!$A$5:$A$9,'平台参数'!$F$5:$F$9,0))</x:f>
        <x:v>0</x:v>
      </x:c>
      <x:c r="Q73" s="293" t="n">
        <x:f>IF(N73="",0,XLOOKUP(N73,'平台参数'!$A$5:$A$9,'平台参数'!$G$5:$G$9,0))</x:f>
        <x:v>0</x:v>
      </x:c>
      <x:c r="R73" s="282" t="n">
        <x:f>IF(N73="",0,XLOOKUP(N73,'平台参数'!$A$5:$A$9,'平台参数'!$I$5:$I$9,0))</x:f>
        <x:v>0</x:v>
      </x:c>
      <x:c r="S73" s="282" t="n">
        <x:f>IF(O73=0,0,O73*(1-P73-Q73)-R73)</x:f>
        <x:v>0</x:v>
      </x:c>
      <x:c r="T73" s="282" t="n">
        <x:f>S73-K73</x:f>
        <x:v>0</x:v>
      </x:c>
      <x:c r="U73" s="293" t="n">
        <x:f>IFERROR(T73/K73,0)</x:f>
        <x:v>0</x:v>
      </x:c>
      <x:c r="V73" s="282" t="n">
        <x:f>IF(F73="",0,IF(M73="",TODAY()-F73,M73-F73))</x:f>
        <x:v>0</x:v>
      </x:c>
      <x:c r="W73" s="223"/>
      <x:c r="X73" s="223"/>
      <x:c r="Y73" s="223"/>
      <x:c r="Z73" s="223"/>
    </x:row>
    <x:row r="74">
      <x:c r="A74" s="223"/>
      <x:c r="B74" s="223"/>
      <x:c r="C74" s="223"/>
      <x:c r="D74" s="223"/>
      <x:c r="E74" s="223"/>
      <x:c r="F74" s="292"/>
      <x:c r="G74" s="223"/>
      <x:c r="H74" s="282"/>
      <x:c r="I74" s="293" t="n">
        <x:f>IF(G74="",0,XLOOKUP(G74,'平台参数'!$A$5:$A$9,'平台参数'!$E$5:$E$9,0)+XLOOKUP(G74,'平台参数'!$A$5:$A$9,'平台参数'!$G$5:$G$9,0))</x:f>
        <x:v>0</x:v>
      </x:c>
      <x:c r="J74" s="282" t="n">
        <x:f>IF(G74="",0,XLOOKUP(G74,'平台参数'!$A$5:$A$9,'平台参数'!$H$5:$H$9,0))</x:f>
        <x:v>0</x:v>
      </x:c>
      <x:c r="K74" s="282" t="n">
        <x:f>IF(H74=0,0,H74*(1+I74)+J74)</x:f>
        <x:v>0</x:v>
      </x:c>
      <x:c r="L74" s="292"/>
      <x:c r="M74" s="292"/>
      <x:c r="N74" s="223"/>
      <x:c r="O74" s="282"/>
      <x:c r="P74" s="293" t="n">
        <x:f>IF(N74="",0,XLOOKUP(N74,'平台参数'!$A$5:$A$9,'平台参数'!$F$5:$F$9,0))</x:f>
        <x:v>0</x:v>
      </x:c>
      <x:c r="Q74" s="293" t="n">
        <x:f>IF(N74="",0,XLOOKUP(N74,'平台参数'!$A$5:$A$9,'平台参数'!$G$5:$G$9,0))</x:f>
        <x:v>0</x:v>
      </x:c>
      <x:c r="R74" s="282" t="n">
        <x:f>IF(N74="",0,XLOOKUP(N74,'平台参数'!$A$5:$A$9,'平台参数'!$I$5:$I$9,0))</x:f>
        <x:v>0</x:v>
      </x:c>
      <x:c r="S74" s="282" t="n">
        <x:f>IF(O74=0,0,O74*(1-P74-Q74)-R74)</x:f>
        <x:v>0</x:v>
      </x:c>
      <x:c r="T74" s="282" t="n">
        <x:f>S74-K74</x:f>
        <x:v>0</x:v>
      </x:c>
      <x:c r="U74" s="293" t="n">
        <x:f>IFERROR(T74/K74,0)</x:f>
        <x:v>0</x:v>
      </x:c>
      <x:c r="V74" s="282" t="n">
        <x:f>IF(F74="",0,IF(M74="",TODAY()-F74,M74-F74))</x:f>
        <x:v>0</x:v>
      </x:c>
      <x:c r="W74" s="223"/>
      <x:c r="X74" s="223"/>
      <x:c r="Y74" s="223"/>
      <x:c r="Z74" s="223"/>
    </x:row>
    <x:row r="75">
      <x:c r="A75" s="223"/>
      <x:c r="B75" s="223"/>
      <x:c r="C75" s="223"/>
      <x:c r="D75" s="223"/>
      <x:c r="E75" s="223"/>
      <x:c r="F75" s="292"/>
      <x:c r="G75" s="223"/>
      <x:c r="H75" s="282"/>
      <x:c r="I75" s="293" t="n">
        <x:f>IF(G75="",0,XLOOKUP(G75,'平台参数'!$A$5:$A$9,'平台参数'!$E$5:$E$9,0)+XLOOKUP(G75,'平台参数'!$A$5:$A$9,'平台参数'!$G$5:$G$9,0))</x:f>
        <x:v>0</x:v>
      </x:c>
      <x:c r="J75" s="282" t="n">
        <x:f>IF(G75="",0,XLOOKUP(G75,'平台参数'!$A$5:$A$9,'平台参数'!$H$5:$H$9,0))</x:f>
        <x:v>0</x:v>
      </x:c>
      <x:c r="K75" s="282" t="n">
        <x:f>IF(H75=0,0,H75*(1+I75)+J75)</x:f>
        <x:v>0</x:v>
      </x:c>
      <x:c r="L75" s="292"/>
      <x:c r="M75" s="292"/>
      <x:c r="N75" s="223"/>
      <x:c r="O75" s="282"/>
      <x:c r="P75" s="293" t="n">
        <x:f>IF(N75="",0,XLOOKUP(N75,'平台参数'!$A$5:$A$9,'平台参数'!$F$5:$F$9,0))</x:f>
        <x:v>0</x:v>
      </x:c>
      <x:c r="Q75" s="293" t="n">
        <x:f>IF(N75="",0,XLOOKUP(N75,'平台参数'!$A$5:$A$9,'平台参数'!$G$5:$G$9,0))</x:f>
        <x:v>0</x:v>
      </x:c>
      <x:c r="R75" s="282" t="n">
        <x:f>IF(N75="",0,XLOOKUP(N75,'平台参数'!$A$5:$A$9,'平台参数'!$I$5:$I$9,0))</x:f>
        <x:v>0</x:v>
      </x:c>
      <x:c r="S75" s="282" t="n">
        <x:f>IF(O75=0,0,O75*(1-P75-Q75)-R75)</x:f>
        <x:v>0</x:v>
      </x:c>
      <x:c r="T75" s="282" t="n">
        <x:f>S75-K75</x:f>
        <x:v>0</x:v>
      </x:c>
      <x:c r="U75" s="293" t="n">
        <x:f>IFERROR(T75/K75,0)</x:f>
        <x:v>0</x:v>
      </x:c>
      <x:c r="V75" s="282" t="n">
        <x:f>IF(F75="",0,IF(M75="",TODAY()-F75,M75-F75))</x:f>
        <x:v>0</x:v>
      </x:c>
      <x:c r="W75" s="223"/>
      <x:c r="X75" s="223"/>
      <x:c r="Y75" s="223"/>
      <x:c r="Z75" s="223"/>
    </x:row>
    <x:row r="76">
      <x:c r="A76" s="223"/>
      <x:c r="B76" s="223"/>
      <x:c r="C76" s="223"/>
      <x:c r="D76" s="223"/>
      <x:c r="E76" s="223"/>
      <x:c r="F76" s="292"/>
      <x:c r="G76" s="223"/>
      <x:c r="H76" s="282"/>
      <x:c r="I76" s="293" t="n">
        <x:f>IF(G76="",0,XLOOKUP(G76,'平台参数'!$A$5:$A$9,'平台参数'!$E$5:$E$9,0)+XLOOKUP(G76,'平台参数'!$A$5:$A$9,'平台参数'!$G$5:$G$9,0))</x:f>
        <x:v>0</x:v>
      </x:c>
      <x:c r="J76" s="282" t="n">
        <x:f>IF(G76="",0,XLOOKUP(G76,'平台参数'!$A$5:$A$9,'平台参数'!$H$5:$H$9,0))</x:f>
        <x:v>0</x:v>
      </x:c>
      <x:c r="K76" s="282" t="n">
        <x:f>IF(H76=0,0,H76*(1+I76)+J76)</x:f>
        <x:v>0</x:v>
      </x:c>
      <x:c r="L76" s="292"/>
      <x:c r="M76" s="292"/>
      <x:c r="N76" s="223"/>
      <x:c r="O76" s="282"/>
      <x:c r="P76" s="293" t="n">
        <x:f>IF(N76="",0,XLOOKUP(N76,'平台参数'!$A$5:$A$9,'平台参数'!$F$5:$F$9,0))</x:f>
        <x:v>0</x:v>
      </x:c>
      <x:c r="Q76" s="293" t="n">
        <x:f>IF(N76="",0,XLOOKUP(N76,'平台参数'!$A$5:$A$9,'平台参数'!$G$5:$G$9,0))</x:f>
        <x:v>0</x:v>
      </x:c>
      <x:c r="R76" s="282" t="n">
        <x:f>IF(N76="",0,XLOOKUP(N76,'平台参数'!$A$5:$A$9,'平台参数'!$I$5:$I$9,0))</x:f>
        <x:v>0</x:v>
      </x:c>
      <x:c r="S76" s="282" t="n">
        <x:f>IF(O76=0,0,O76*(1-P76-Q76)-R76)</x:f>
        <x:v>0</x:v>
      </x:c>
      <x:c r="T76" s="282" t="n">
        <x:f>S76-K76</x:f>
        <x:v>0</x:v>
      </x:c>
      <x:c r="U76" s="293" t="n">
        <x:f>IFERROR(T76/K76,0)</x:f>
        <x:v>0</x:v>
      </x:c>
      <x:c r="V76" s="282" t="n">
        <x:f>IF(F76="",0,IF(M76="",TODAY()-F76,M76-F76))</x:f>
        <x:v>0</x:v>
      </x:c>
      <x:c r="W76" s="223"/>
      <x:c r="X76" s="223"/>
      <x:c r="Y76" s="223"/>
      <x:c r="Z76" s="223"/>
    </x:row>
    <x:row r="77">
      <x:c r="A77" s="223"/>
      <x:c r="B77" s="223"/>
      <x:c r="C77" s="223"/>
      <x:c r="D77" s="223"/>
      <x:c r="E77" s="223"/>
      <x:c r="F77" s="292"/>
      <x:c r="G77" s="223"/>
      <x:c r="H77" s="282"/>
      <x:c r="I77" s="293" t="n">
        <x:f>IF(G77="",0,XLOOKUP(G77,'平台参数'!$A$5:$A$9,'平台参数'!$E$5:$E$9,0)+XLOOKUP(G77,'平台参数'!$A$5:$A$9,'平台参数'!$G$5:$G$9,0))</x:f>
        <x:v>0</x:v>
      </x:c>
      <x:c r="J77" s="282" t="n">
        <x:f>IF(G77="",0,XLOOKUP(G77,'平台参数'!$A$5:$A$9,'平台参数'!$H$5:$H$9,0))</x:f>
        <x:v>0</x:v>
      </x:c>
      <x:c r="K77" s="282" t="n">
        <x:f>IF(H77=0,0,H77*(1+I77)+J77)</x:f>
        <x:v>0</x:v>
      </x:c>
      <x:c r="L77" s="292"/>
      <x:c r="M77" s="292"/>
      <x:c r="N77" s="223"/>
      <x:c r="O77" s="282"/>
      <x:c r="P77" s="293" t="n">
        <x:f>IF(N77="",0,XLOOKUP(N77,'平台参数'!$A$5:$A$9,'平台参数'!$F$5:$F$9,0))</x:f>
        <x:v>0</x:v>
      </x:c>
      <x:c r="Q77" s="293" t="n">
        <x:f>IF(N77="",0,XLOOKUP(N77,'平台参数'!$A$5:$A$9,'平台参数'!$G$5:$G$9,0))</x:f>
        <x:v>0</x:v>
      </x:c>
      <x:c r="R77" s="282" t="n">
        <x:f>IF(N77="",0,XLOOKUP(N77,'平台参数'!$A$5:$A$9,'平台参数'!$I$5:$I$9,0))</x:f>
        <x:v>0</x:v>
      </x:c>
      <x:c r="S77" s="282" t="n">
        <x:f>IF(O77=0,0,O77*(1-P77-Q77)-R77)</x:f>
        <x:v>0</x:v>
      </x:c>
      <x:c r="T77" s="282" t="n">
        <x:f>S77-K77</x:f>
        <x:v>0</x:v>
      </x:c>
      <x:c r="U77" s="293" t="n">
        <x:f>IFERROR(T77/K77,0)</x:f>
        <x:v>0</x:v>
      </x:c>
      <x:c r="V77" s="282" t="n">
        <x:f>IF(F77="",0,IF(M77="",TODAY()-F77,M77-F77))</x:f>
        <x:v>0</x:v>
      </x:c>
      <x:c r="W77" s="223"/>
      <x:c r="X77" s="223"/>
      <x:c r="Y77" s="223"/>
      <x:c r="Z77" s="223"/>
    </x:row>
    <x:row r="78">
      <x:c r="A78" s="223"/>
      <x:c r="B78" s="223"/>
      <x:c r="C78" s="223"/>
      <x:c r="D78" s="223"/>
      <x:c r="E78" s="223"/>
      <x:c r="F78" s="292"/>
      <x:c r="G78" s="223"/>
      <x:c r="H78" s="282"/>
      <x:c r="I78" s="293" t="n">
        <x:f>IF(G78="",0,XLOOKUP(G78,'平台参数'!$A$5:$A$9,'平台参数'!$E$5:$E$9,0)+XLOOKUP(G78,'平台参数'!$A$5:$A$9,'平台参数'!$G$5:$G$9,0))</x:f>
        <x:v>0</x:v>
      </x:c>
      <x:c r="J78" s="282" t="n">
        <x:f>IF(G78="",0,XLOOKUP(G78,'平台参数'!$A$5:$A$9,'平台参数'!$H$5:$H$9,0))</x:f>
        <x:v>0</x:v>
      </x:c>
      <x:c r="K78" s="282" t="n">
        <x:f>IF(H78=0,0,H78*(1+I78)+J78)</x:f>
        <x:v>0</x:v>
      </x:c>
      <x:c r="L78" s="292"/>
      <x:c r="M78" s="292"/>
      <x:c r="N78" s="223"/>
      <x:c r="O78" s="282"/>
      <x:c r="P78" s="293" t="n">
        <x:f>IF(N78="",0,XLOOKUP(N78,'平台参数'!$A$5:$A$9,'平台参数'!$F$5:$F$9,0))</x:f>
        <x:v>0</x:v>
      </x:c>
      <x:c r="Q78" s="293" t="n">
        <x:f>IF(N78="",0,XLOOKUP(N78,'平台参数'!$A$5:$A$9,'平台参数'!$G$5:$G$9,0))</x:f>
        <x:v>0</x:v>
      </x:c>
      <x:c r="R78" s="282" t="n">
        <x:f>IF(N78="",0,XLOOKUP(N78,'平台参数'!$A$5:$A$9,'平台参数'!$I$5:$I$9,0))</x:f>
        <x:v>0</x:v>
      </x:c>
      <x:c r="S78" s="282" t="n">
        <x:f>IF(O78=0,0,O78*(1-P78-Q78)-R78)</x:f>
        <x:v>0</x:v>
      </x:c>
      <x:c r="T78" s="282" t="n">
        <x:f>S78-K78</x:f>
        <x:v>0</x:v>
      </x:c>
      <x:c r="U78" s="293" t="n">
        <x:f>IFERROR(T78/K78,0)</x:f>
        <x:v>0</x:v>
      </x:c>
      <x:c r="V78" s="282" t="n">
        <x:f>IF(F78="",0,IF(M78="",TODAY()-F78,M78-F78))</x:f>
        <x:v>0</x:v>
      </x:c>
      <x:c r="W78" s="223"/>
      <x:c r="X78" s="223"/>
      <x:c r="Y78" s="223"/>
      <x:c r="Z78" s="223"/>
    </x:row>
    <x:row r="79">
      <x:c r="A79" s="223"/>
      <x:c r="B79" s="223"/>
      <x:c r="C79" s="223"/>
      <x:c r="D79" s="223"/>
      <x:c r="E79" s="223"/>
      <x:c r="F79" s="292"/>
      <x:c r="G79" s="223"/>
      <x:c r="H79" s="282"/>
      <x:c r="I79" s="293" t="n">
        <x:f>IF(G79="",0,XLOOKUP(G79,'平台参数'!$A$5:$A$9,'平台参数'!$E$5:$E$9,0)+XLOOKUP(G79,'平台参数'!$A$5:$A$9,'平台参数'!$G$5:$G$9,0))</x:f>
        <x:v>0</x:v>
      </x:c>
      <x:c r="J79" s="282" t="n">
        <x:f>IF(G79="",0,XLOOKUP(G79,'平台参数'!$A$5:$A$9,'平台参数'!$H$5:$H$9,0))</x:f>
        <x:v>0</x:v>
      </x:c>
      <x:c r="K79" s="282" t="n">
        <x:f>IF(H79=0,0,H79*(1+I79)+J79)</x:f>
        <x:v>0</x:v>
      </x:c>
      <x:c r="L79" s="292"/>
      <x:c r="M79" s="292"/>
      <x:c r="N79" s="223"/>
      <x:c r="O79" s="282"/>
      <x:c r="P79" s="293" t="n">
        <x:f>IF(N79="",0,XLOOKUP(N79,'平台参数'!$A$5:$A$9,'平台参数'!$F$5:$F$9,0))</x:f>
        <x:v>0</x:v>
      </x:c>
      <x:c r="Q79" s="293" t="n">
        <x:f>IF(N79="",0,XLOOKUP(N79,'平台参数'!$A$5:$A$9,'平台参数'!$G$5:$G$9,0))</x:f>
        <x:v>0</x:v>
      </x:c>
      <x:c r="R79" s="282" t="n">
        <x:f>IF(N79="",0,XLOOKUP(N79,'平台参数'!$A$5:$A$9,'平台参数'!$I$5:$I$9,0))</x:f>
        <x:v>0</x:v>
      </x:c>
      <x:c r="S79" s="282" t="n">
        <x:f>IF(O79=0,0,O79*(1-P79-Q79)-R79)</x:f>
        <x:v>0</x:v>
      </x:c>
      <x:c r="T79" s="282" t="n">
        <x:f>S79-K79</x:f>
        <x:v>0</x:v>
      </x:c>
      <x:c r="U79" s="293" t="n">
        <x:f>IFERROR(T79/K79,0)</x:f>
        <x:v>0</x:v>
      </x:c>
      <x:c r="V79" s="282" t="n">
        <x:f>IF(F79="",0,IF(M79="",TODAY()-F79,M79-F79))</x:f>
        <x:v>0</x:v>
      </x:c>
      <x:c r="W79" s="223"/>
      <x:c r="X79" s="223"/>
      <x:c r="Y79" s="223"/>
      <x:c r="Z79" s="223"/>
    </x:row>
    <x:row r="80">
      <x:c r="A80" s="223"/>
      <x:c r="B80" s="223"/>
      <x:c r="C80" s="223"/>
      <x:c r="D80" s="223"/>
      <x:c r="E80" s="223"/>
      <x:c r="F80" s="292"/>
      <x:c r="G80" s="223"/>
      <x:c r="H80" s="282"/>
      <x:c r="I80" s="293" t="n">
        <x:f>IF(G80="",0,XLOOKUP(G80,'平台参数'!$A$5:$A$9,'平台参数'!$E$5:$E$9,0)+XLOOKUP(G80,'平台参数'!$A$5:$A$9,'平台参数'!$G$5:$G$9,0))</x:f>
        <x:v>0</x:v>
      </x:c>
      <x:c r="J80" s="282" t="n">
        <x:f>IF(G80="",0,XLOOKUP(G80,'平台参数'!$A$5:$A$9,'平台参数'!$H$5:$H$9,0))</x:f>
        <x:v>0</x:v>
      </x:c>
      <x:c r="K80" s="282" t="n">
        <x:f>IF(H80=0,0,H80*(1+I80)+J80)</x:f>
        <x:v>0</x:v>
      </x:c>
      <x:c r="L80" s="292"/>
      <x:c r="M80" s="292"/>
      <x:c r="N80" s="223"/>
      <x:c r="O80" s="282"/>
      <x:c r="P80" s="293" t="n">
        <x:f>IF(N80="",0,XLOOKUP(N80,'平台参数'!$A$5:$A$9,'平台参数'!$F$5:$F$9,0))</x:f>
        <x:v>0</x:v>
      </x:c>
      <x:c r="Q80" s="293" t="n">
        <x:f>IF(N80="",0,XLOOKUP(N80,'平台参数'!$A$5:$A$9,'平台参数'!$G$5:$G$9,0))</x:f>
        <x:v>0</x:v>
      </x:c>
      <x:c r="R80" s="282" t="n">
        <x:f>IF(N80="",0,XLOOKUP(N80,'平台参数'!$A$5:$A$9,'平台参数'!$I$5:$I$9,0))</x:f>
        <x:v>0</x:v>
      </x:c>
      <x:c r="S80" s="282" t="n">
        <x:f>IF(O80=0,0,O80*(1-P80-Q80)-R80)</x:f>
        <x:v>0</x:v>
      </x:c>
      <x:c r="T80" s="282" t="n">
        <x:f>S80-K80</x:f>
        <x:v>0</x:v>
      </x:c>
      <x:c r="U80" s="293" t="n">
        <x:f>IFERROR(T80/K80,0)</x:f>
        <x:v>0</x:v>
      </x:c>
      <x:c r="V80" s="282" t="n">
        <x:f>IF(F80="",0,IF(M80="",TODAY()-F80,M80-F80))</x:f>
        <x:v>0</x:v>
      </x:c>
      <x:c r="W80" s="223"/>
      <x:c r="X80" s="223"/>
      <x:c r="Y80" s="223"/>
      <x:c r="Z80" s="223"/>
    </x:row>
    <x:row r="81">
      <x:c r="A81" s="223"/>
      <x:c r="B81" s="223"/>
      <x:c r="C81" s="223"/>
      <x:c r="D81" s="223"/>
      <x:c r="E81" s="223"/>
      <x:c r="F81" s="292"/>
      <x:c r="G81" s="223"/>
      <x:c r="H81" s="282"/>
      <x:c r="I81" s="293" t="n">
        <x:f>IF(G81="",0,XLOOKUP(G81,'平台参数'!$A$5:$A$9,'平台参数'!$E$5:$E$9,0)+XLOOKUP(G81,'平台参数'!$A$5:$A$9,'平台参数'!$G$5:$G$9,0))</x:f>
        <x:v>0</x:v>
      </x:c>
      <x:c r="J81" s="282" t="n">
        <x:f>IF(G81="",0,XLOOKUP(G81,'平台参数'!$A$5:$A$9,'平台参数'!$H$5:$H$9,0))</x:f>
        <x:v>0</x:v>
      </x:c>
      <x:c r="K81" s="282" t="n">
        <x:f>IF(H81=0,0,H81*(1+I81)+J81)</x:f>
        <x:v>0</x:v>
      </x:c>
      <x:c r="L81" s="292"/>
      <x:c r="M81" s="292"/>
      <x:c r="N81" s="223"/>
      <x:c r="O81" s="282"/>
      <x:c r="P81" s="293" t="n">
        <x:f>IF(N81="",0,XLOOKUP(N81,'平台参数'!$A$5:$A$9,'平台参数'!$F$5:$F$9,0))</x:f>
        <x:v>0</x:v>
      </x:c>
      <x:c r="Q81" s="293" t="n">
        <x:f>IF(N81="",0,XLOOKUP(N81,'平台参数'!$A$5:$A$9,'平台参数'!$G$5:$G$9,0))</x:f>
        <x:v>0</x:v>
      </x:c>
      <x:c r="R81" s="282" t="n">
        <x:f>IF(N81="",0,XLOOKUP(N81,'平台参数'!$A$5:$A$9,'平台参数'!$I$5:$I$9,0))</x:f>
        <x:v>0</x:v>
      </x:c>
      <x:c r="S81" s="282" t="n">
        <x:f>IF(O81=0,0,O81*(1-P81-Q81)-R81)</x:f>
        <x:v>0</x:v>
      </x:c>
      <x:c r="T81" s="282" t="n">
        <x:f>S81-K81</x:f>
        <x:v>0</x:v>
      </x:c>
      <x:c r="U81" s="293" t="n">
        <x:f>IFERROR(T81/K81,0)</x:f>
        <x:v>0</x:v>
      </x:c>
      <x:c r="V81" s="282" t="n">
        <x:f>IF(F81="",0,IF(M81="",TODAY()-F81,M81-F81))</x:f>
        <x:v>0</x:v>
      </x:c>
      <x:c r="W81" s="223"/>
      <x:c r="X81" s="223"/>
      <x:c r="Y81" s="223"/>
      <x:c r="Z81" s="223"/>
    </x:row>
    <x:row r="82">
      <x:c r="A82" s="223"/>
      <x:c r="B82" s="223"/>
      <x:c r="C82" s="223"/>
      <x:c r="D82" s="223"/>
      <x:c r="E82" s="223"/>
      <x:c r="F82" s="292"/>
      <x:c r="G82" s="223"/>
      <x:c r="H82" s="282"/>
      <x:c r="I82" s="293" t="n">
        <x:f>IF(G82="",0,XLOOKUP(G82,'平台参数'!$A$5:$A$9,'平台参数'!$E$5:$E$9,0)+XLOOKUP(G82,'平台参数'!$A$5:$A$9,'平台参数'!$G$5:$G$9,0))</x:f>
        <x:v>0</x:v>
      </x:c>
      <x:c r="J82" s="282" t="n">
        <x:f>IF(G82="",0,XLOOKUP(G82,'平台参数'!$A$5:$A$9,'平台参数'!$H$5:$H$9,0))</x:f>
        <x:v>0</x:v>
      </x:c>
      <x:c r="K82" s="282" t="n">
        <x:f>IF(H82=0,0,H82*(1+I82)+J82)</x:f>
        <x:v>0</x:v>
      </x:c>
      <x:c r="L82" s="292"/>
      <x:c r="M82" s="292"/>
      <x:c r="N82" s="223"/>
      <x:c r="O82" s="282"/>
      <x:c r="P82" s="293" t="n">
        <x:f>IF(N82="",0,XLOOKUP(N82,'平台参数'!$A$5:$A$9,'平台参数'!$F$5:$F$9,0))</x:f>
        <x:v>0</x:v>
      </x:c>
      <x:c r="Q82" s="293" t="n">
        <x:f>IF(N82="",0,XLOOKUP(N82,'平台参数'!$A$5:$A$9,'平台参数'!$G$5:$G$9,0))</x:f>
        <x:v>0</x:v>
      </x:c>
      <x:c r="R82" s="282" t="n">
        <x:f>IF(N82="",0,XLOOKUP(N82,'平台参数'!$A$5:$A$9,'平台参数'!$I$5:$I$9,0))</x:f>
        <x:v>0</x:v>
      </x:c>
      <x:c r="S82" s="282" t="n">
        <x:f>IF(O82=0,0,O82*(1-P82-Q82)-R82)</x:f>
        <x:v>0</x:v>
      </x:c>
      <x:c r="T82" s="282" t="n">
        <x:f>S82-K82</x:f>
        <x:v>0</x:v>
      </x:c>
      <x:c r="U82" s="293" t="n">
        <x:f>IFERROR(T82/K82,0)</x:f>
        <x:v>0</x:v>
      </x:c>
      <x:c r="V82" s="282" t="n">
        <x:f>IF(F82="",0,IF(M82="",TODAY()-F82,M82-F82))</x:f>
        <x:v>0</x:v>
      </x:c>
      <x:c r="W82" s="223"/>
      <x:c r="X82" s="223"/>
      <x:c r="Y82" s="223"/>
      <x:c r="Z82" s="223"/>
    </x:row>
    <x:row r="83">
      <x:c r="A83" s="223"/>
      <x:c r="B83" s="223"/>
      <x:c r="C83" s="223"/>
      <x:c r="D83" s="223"/>
      <x:c r="E83" s="223"/>
      <x:c r="F83" s="292"/>
      <x:c r="G83" s="223"/>
      <x:c r="H83" s="282"/>
      <x:c r="I83" s="293" t="n">
        <x:f>IF(G83="",0,XLOOKUP(G83,'平台参数'!$A$5:$A$9,'平台参数'!$E$5:$E$9,0)+XLOOKUP(G83,'平台参数'!$A$5:$A$9,'平台参数'!$G$5:$G$9,0))</x:f>
        <x:v>0</x:v>
      </x:c>
      <x:c r="J83" s="282" t="n">
        <x:f>IF(G83="",0,XLOOKUP(G83,'平台参数'!$A$5:$A$9,'平台参数'!$H$5:$H$9,0))</x:f>
        <x:v>0</x:v>
      </x:c>
      <x:c r="K83" s="282" t="n">
        <x:f>IF(H83=0,0,H83*(1+I83)+J83)</x:f>
        <x:v>0</x:v>
      </x:c>
      <x:c r="L83" s="292"/>
      <x:c r="M83" s="292"/>
      <x:c r="N83" s="223"/>
      <x:c r="O83" s="282"/>
      <x:c r="P83" s="293" t="n">
        <x:f>IF(N83="",0,XLOOKUP(N83,'平台参数'!$A$5:$A$9,'平台参数'!$F$5:$F$9,0))</x:f>
        <x:v>0</x:v>
      </x:c>
      <x:c r="Q83" s="293" t="n">
        <x:f>IF(N83="",0,XLOOKUP(N83,'平台参数'!$A$5:$A$9,'平台参数'!$G$5:$G$9,0))</x:f>
        <x:v>0</x:v>
      </x:c>
      <x:c r="R83" s="282" t="n">
        <x:f>IF(N83="",0,XLOOKUP(N83,'平台参数'!$A$5:$A$9,'平台参数'!$I$5:$I$9,0))</x:f>
        <x:v>0</x:v>
      </x:c>
      <x:c r="S83" s="282" t="n">
        <x:f>IF(O83=0,0,O83*(1-P83-Q83)-R83)</x:f>
        <x:v>0</x:v>
      </x:c>
      <x:c r="T83" s="282" t="n">
        <x:f>S83-K83</x:f>
        <x:v>0</x:v>
      </x:c>
      <x:c r="U83" s="293" t="n">
        <x:f>IFERROR(T83/K83,0)</x:f>
        <x:v>0</x:v>
      </x:c>
      <x:c r="V83" s="282" t="n">
        <x:f>IF(F83="",0,IF(M83="",TODAY()-F83,M83-F83))</x:f>
        <x:v>0</x:v>
      </x:c>
      <x:c r="W83" s="223"/>
      <x:c r="X83" s="223"/>
      <x:c r="Y83" s="223"/>
      <x:c r="Z83" s="223"/>
    </x:row>
    <x:row r="84">
      <x:c r="A84" s="223"/>
      <x:c r="B84" s="223"/>
      <x:c r="C84" s="223"/>
      <x:c r="D84" s="223"/>
      <x:c r="E84" s="223"/>
      <x:c r="F84" s="292"/>
      <x:c r="G84" s="223"/>
      <x:c r="H84" s="282"/>
      <x:c r="I84" s="293" t="n">
        <x:f>IF(G84="",0,XLOOKUP(G84,'平台参数'!$A$5:$A$9,'平台参数'!$E$5:$E$9,0)+XLOOKUP(G84,'平台参数'!$A$5:$A$9,'平台参数'!$G$5:$G$9,0))</x:f>
        <x:v>0</x:v>
      </x:c>
      <x:c r="J84" s="282" t="n">
        <x:f>IF(G84="",0,XLOOKUP(G84,'平台参数'!$A$5:$A$9,'平台参数'!$H$5:$H$9,0))</x:f>
        <x:v>0</x:v>
      </x:c>
      <x:c r="K84" s="282" t="n">
        <x:f>IF(H84=0,0,H84*(1+I84)+J84)</x:f>
        <x:v>0</x:v>
      </x:c>
      <x:c r="L84" s="292"/>
      <x:c r="M84" s="292"/>
      <x:c r="N84" s="223"/>
      <x:c r="O84" s="282"/>
      <x:c r="P84" s="293" t="n">
        <x:f>IF(N84="",0,XLOOKUP(N84,'平台参数'!$A$5:$A$9,'平台参数'!$F$5:$F$9,0))</x:f>
        <x:v>0</x:v>
      </x:c>
      <x:c r="Q84" s="293" t="n">
        <x:f>IF(N84="",0,XLOOKUP(N84,'平台参数'!$A$5:$A$9,'平台参数'!$G$5:$G$9,0))</x:f>
        <x:v>0</x:v>
      </x:c>
      <x:c r="R84" s="282" t="n">
        <x:f>IF(N84="",0,XLOOKUP(N84,'平台参数'!$A$5:$A$9,'平台参数'!$I$5:$I$9,0))</x:f>
        <x:v>0</x:v>
      </x:c>
      <x:c r="S84" s="282" t="n">
        <x:f>IF(O84=0,0,O84*(1-P84-Q84)-R84)</x:f>
        <x:v>0</x:v>
      </x:c>
      <x:c r="T84" s="282" t="n">
        <x:f>S84-K84</x:f>
        <x:v>0</x:v>
      </x:c>
      <x:c r="U84" s="293" t="n">
        <x:f>IFERROR(T84/K84,0)</x:f>
        <x:v>0</x:v>
      </x:c>
      <x:c r="V84" s="282" t="n">
        <x:f>IF(F84="",0,IF(M84="",TODAY()-F84,M84-F84))</x:f>
        <x:v>0</x:v>
      </x:c>
      <x:c r="W84" s="223"/>
      <x:c r="X84" s="223"/>
      <x:c r="Y84" s="223"/>
      <x:c r="Z84" s="223"/>
    </x:row>
    <x:row r="85">
      <x:c r="A85" s="223"/>
      <x:c r="B85" s="223"/>
      <x:c r="C85" s="223"/>
      <x:c r="D85" s="223"/>
      <x:c r="E85" s="223"/>
      <x:c r="F85" s="292"/>
      <x:c r="G85" s="223"/>
      <x:c r="H85" s="282"/>
      <x:c r="I85" s="293" t="n">
        <x:f>IF(G85="",0,XLOOKUP(G85,'平台参数'!$A$5:$A$9,'平台参数'!$E$5:$E$9,0)+XLOOKUP(G85,'平台参数'!$A$5:$A$9,'平台参数'!$G$5:$G$9,0))</x:f>
        <x:v>0</x:v>
      </x:c>
      <x:c r="J85" s="282" t="n">
        <x:f>IF(G85="",0,XLOOKUP(G85,'平台参数'!$A$5:$A$9,'平台参数'!$H$5:$H$9,0))</x:f>
        <x:v>0</x:v>
      </x:c>
      <x:c r="K85" s="282" t="n">
        <x:f>IF(H85=0,0,H85*(1+I85)+J85)</x:f>
        <x:v>0</x:v>
      </x:c>
      <x:c r="L85" s="292"/>
      <x:c r="M85" s="292"/>
      <x:c r="N85" s="223"/>
      <x:c r="O85" s="282"/>
      <x:c r="P85" s="293" t="n">
        <x:f>IF(N85="",0,XLOOKUP(N85,'平台参数'!$A$5:$A$9,'平台参数'!$F$5:$F$9,0))</x:f>
        <x:v>0</x:v>
      </x:c>
      <x:c r="Q85" s="293" t="n">
        <x:f>IF(N85="",0,XLOOKUP(N85,'平台参数'!$A$5:$A$9,'平台参数'!$G$5:$G$9,0))</x:f>
        <x:v>0</x:v>
      </x:c>
      <x:c r="R85" s="282" t="n">
        <x:f>IF(N85="",0,XLOOKUP(N85,'平台参数'!$A$5:$A$9,'平台参数'!$I$5:$I$9,0))</x:f>
        <x:v>0</x:v>
      </x:c>
      <x:c r="S85" s="282" t="n">
        <x:f>IF(O85=0,0,O85*(1-P85-Q85)-R85)</x:f>
        <x:v>0</x:v>
      </x:c>
      <x:c r="T85" s="282" t="n">
        <x:f>S85-K85</x:f>
        <x:v>0</x:v>
      </x:c>
      <x:c r="U85" s="293" t="n">
        <x:f>IFERROR(T85/K85,0)</x:f>
        <x:v>0</x:v>
      </x:c>
      <x:c r="V85" s="282" t="n">
        <x:f>IF(F85="",0,IF(M85="",TODAY()-F85,M85-F85))</x:f>
        <x:v>0</x:v>
      </x:c>
      <x:c r="W85" s="223"/>
      <x:c r="X85" s="223"/>
      <x:c r="Y85" s="223"/>
      <x:c r="Z85" s="223"/>
    </x:row>
    <x:row r="86">
      <x:c r="A86" s="223"/>
      <x:c r="B86" s="223"/>
      <x:c r="C86" s="223"/>
      <x:c r="D86" s="223"/>
      <x:c r="E86" s="223"/>
      <x:c r="F86" s="292"/>
      <x:c r="G86" s="223"/>
      <x:c r="H86" s="282"/>
      <x:c r="I86" s="293" t="n">
        <x:f>IF(G86="",0,XLOOKUP(G86,'平台参数'!$A$5:$A$9,'平台参数'!$E$5:$E$9,0)+XLOOKUP(G86,'平台参数'!$A$5:$A$9,'平台参数'!$G$5:$G$9,0))</x:f>
        <x:v>0</x:v>
      </x:c>
      <x:c r="J86" s="282" t="n">
        <x:f>IF(G86="",0,XLOOKUP(G86,'平台参数'!$A$5:$A$9,'平台参数'!$H$5:$H$9,0))</x:f>
        <x:v>0</x:v>
      </x:c>
      <x:c r="K86" s="282" t="n">
        <x:f>IF(H86=0,0,H86*(1+I86)+J86)</x:f>
        <x:v>0</x:v>
      </x:c>
      <x:c r="L86" s="292"/>
      <x:c r="M86" s="292"/>
      <x:c r="N86" s="223"/>
      <x:c r="O86" s="282"/>
      <x:c r="P86" s="293" t="n">
        <x:f>IF(N86="",0,XLOOKUP(N86,'平台参数'!$A$5:$A$9,'平台参数'!$F$5:$F$9,0))</x:f>
        <x:v>0</x:v>
      </x:c>
      <x:c r="Q86" s="293" t="n">
        <x:f>IF(N86="",0,XLOOKUP(N86,'平台参数'!$A$5:$A$9,'平台参数'!$G$5:$G$9,0))</x:f>
        <x:v>0</x:v>
      </x:c>
      <x:c r="R86" s="282" t="n">
        <x:f>IF(N86="",0,XLOOKUP(N86,'平台参数'!$A$5:$A$9,'平台参数'!$I$5:$I$9,0))</x:f>
        <x:v>0</x:v>
      </x:c>
      <x:c r="S86" s="282" t="n">
        <x:f>IF(O86=0,0,O86*(1-P86-Q86)-R86)</x:f>
        <x:v>0</x:v>
      </x:c>
      <x:c r="T86" s="282" t="n">
        <x:f>S86-K86</x:f>
        <x:v>0</x:v>
      </x:c>
      <x:c r="U86" s="293" t="n">
        <x:f>IFERROR(T86/K86,0)</x:f>
        <x:v>0</x:v>
      </x:c>
      <x:c r="V86" s="282" t="n">
        <x:f>IF(F86="",0,IF(M86="",TODAY()-F86,M86-F86))</x:f>
        <x:v>0</x:v>
      </x:c>
      <x:c r="W86" s="223"/>
      <x:c r="X86" s="223"/>
      <x:c r="Y86" s="223"/>
      <x:c r="Z86" s="223"/>
    </x:row>
    <x:row r="87">
      <x:c r="A87" s="223"/>
      <x:c r="B87" s="223"/>
      <x:c r="C87" s="223"/>
      <x:c r="D87" s="223"/>
      <x:c r="E87" s="223"/>
      <x:c r="F87" s="292"/>
      <x:c r="G87" s="223"/>
      <x:c r="H87" s="282"/>
      <x:c r="I87" s="293" t="n">
        <x:f>IF(G87="",0,XLOOKUP(G87,'平台参数'!$A$5:$A$9,'平台参数'!$E$5:$E$9,0)+XLOOKUP(G87,'平台参数'!$A$5:$A$9,'平台参数'!$G$5:$G$9,0))</x:f>
        <x:v>0</x:v>
      </x:c>
      <x:c r="J87" s="282" t="n">
        <x:f>IF(G87="",0,XLOOKUP(G87,'平台参数'!$A$5:$A$9,'平台参数'!$H$5:$H$9,0))</x:f>
        <x:v>0</x:v>
      </x:c>
      <x:c r="K87" s="282" t="n">
        <x:f>IF(H87=0,0,H87*(1+I87)+J87)</x:f>
        <x:v>0</x:v>
      </x:c>
      <x:c r="L87" s="292"/>
      <x:c r="M87" s="292"/>
      <x:c r="N87" s="223"/>
      <x:c r="O87" s="282"/>
      <x:c r="P87" s="293" t="n">
        <x:f>IF(N87="",0,XLOOKUP(N87,'平台参数'!$A$5:$A$9,'平台参数'!$F$5:$F$9,0))</x:f>
        <x:v>0</x:v>
      </x:c>
      <x:c r="Q87" s="293" t="n">
        <x:f>IF(N87="",0,XLOOKUP(N87,'平台参数'!$A$5:$A$9,'平台参数'!$G$5:$G$9,0))</x:f>
        <x:v>0</x:v>
      </x:c>
      <x:c r="R87" s="282" t="n">
        <x:f>IF(N87="",0,XLOOKUP(N87,'平台参数'!$A$5:$A$9,'平台参数'!$I$5:$I$9,0))</x:f>
        <x:v>0</x:v>
      </x:c>
      <x:c r="S87" s="282" t="n">
        <x:f>IF(O87=0,0,O87*(1-P87-Q87)-R87)</x:f>
        <x:v>0</x:v>
      </x:c>
      <x:c r="T87" s="282" t="n">
        <x:f>S87-K87</x:f>
        <x:v>0</x:v>
      </x:c>
      <x:c r="U87" s="293" t="n">
        <x:f>IFERROR(T87/K87,0)</x:f>
        <x:v>0</x:v>
      </x:c>
      <x:c r="V87" s="282" t="n">
        <x:f>IF(F87="",0,IF(M87="",TODAY()-F87,M87-F87))</x:f>
        <x:v>0</x:v>
      </x:c>
      <x:c r="W87" s="223"/>
      <x:c r="X87" s="223"/>
      <x:c r="Y87" s="223"/>
      <x:c r="Z87" s="223"/>
    </x:row>
    <x:row r="88">
      <x:c r="A88" s="223"/>
      <x:c r="B88" s="223"/>
      <x:c r="C88" s="223"/>
      <x:c r="D88" s="223"/>
      <x:c r="E88" s="223"/>
      <x:c r="F88" s="292"/>
      <x:c r="G88" s="223"/>
      <x:c r="H88" s="282"/>
      <x:c r="I88" s="293" t="n">
        <x:f>IF(G88="",0,XLOOKUP(G88,'平台参数'!$A$5:$A$9,'平台参数'!$E$5:$E$9,0)+XLOOKUP(G88,'平台参数'!$A$5:$A$9,'平台参数'!$G$5:$G$9,0))</x:f>
        <x:v>0</x:v>
      </x:c>
      <x:c r="J88" s="282" t="n">
        <x:f>IF(G88="",0,XLOOKUP(G88,'平台参数'!$A$5:$A$9,'平台参数'!$H$5:$H$9,0))</x:f>
        <x:v>0</x:v>
      </x:c>
      <x:c r="K88" s="282" t="n">
        <x:f>IF(H88=0,0,H88*(1+I88)+J88)</x:f>
        <x:v>0</x:v>
      </x:c>
      <x:c r="L88" s="292"/>
      <x:c r="M88" s="292"/>
      <x:c r="N88" s="223"/>
      <x:c r="O88" s="282"/>
      <x:c r="P88" s="293" t="n">
        <x:f>IF(N88="",0,XLOOKUP(N88,'平台参数'!$A$5:$A$9,'平台参数'!$F$5:$F$9,0))</x:f>
        <x:v>0</x:v>
      </x:c>
      <x:c r="Q88" s="293" t="n">
        <x:f>IF(N88="",0,XLOOKUP(N88,'平台参数'!$A$5:$A$9,'平台参数'!$G$5:$G$9,0))</x:f>
        <x:v>0</x:v>
      </x:c>
      <x:c r="R88" s="282" t="n">
        <x:f>IF(N88="",0,XLOOKUP(N88,'平台参数'!$A$5:$A$9,'平台参数'!$I$5:$I$9,0))</x:f>
        <x:v>0</x:v>
      </x:c>
      <x:c r="S88" s="282" t="n">
        <x:f>IF(O88=0,0,O88*(1-P88-Q88)-R88)</x:f>
        <x:v>0</x:v>
      </x:c>
      <x:c r="T88" s="282" t="n">
        <x:f>S88-K88</x:f>
        <x:v>0</x:v>
      </x:c>
      <x:c r="U88" s="293" t="n">
        <x:f>IFERROR(T88/K88,0)</x:f>
        <x:v>0</x:v>
      </x:c>
      <x:c r="V88" s="282" t="n">
        <x:f>IF(F88="",0,IF(M88="",TODAY()-F88,M88-F88))</x:f>
        <x:v>0</x:v>
      </x:c>
      <x:c r="W88" s="223"/>
      <x:c r="X88" s="223"/>
      <x:c r="Y88" s="223"/>
      <x:c r="Z88" s="223"/>
    </x:row>
    <x:row r="89">
      <x:c r="A89" s="223"/>
      <x:c r="B89" s="223"/>
      <x:c r="C89" s="223"/>
      <x:c r="D89" s="223"/>
      <x:c r="E89" s="223"/>
      <x:c r="F89" s="292"/>
      <x:c r="G89" s="223"/>
      <x:c r="H89" s="282"/>
      <x:c r="I89" s="293" t="n">
        <x:f>IF(G89="",0,XLOOKUP(G89,'平台参数'!$A$5:$A$9,'平台参数'!$E$5:$E$9,0)+XLOOKUP(G89,'平台参数'!$A$5:$A$9,'平台参数'!$G$5:$G$9,0))</x:f>
        <x:v>0</x:v>
      </x:c>
      <x:c r="J89" s="282" t="n">
        <x:f>IF(G89="",0,XLOOKUP(G89,'平台参数'!$A$5:$A$9,'平台参数'!$H$5:$H$9,0))</x:f>
        <x:v>0</x:v>
      </x:c>
      <x:c r="K89" s="282" t="n">
        <x:f>IF(H89=0,0,H89*(1+I89)+J89)</x:f>
        <x:v>0</x:v>
      </x:c>
      <x:c r="L89" s="292"/>
      <x:c r="M89" s="292"/>
      <x:c r="N89" s="223"/>
      <x:c r="O89" s="282"/>
      <x:c r="P89" s="293" t="n">
        <x:f>IF(N89="",0,XLOOKUP(N89,'平台参数'!$A$5:$A$9,'平台参数'!$F$5:$F$9,0))</x:f>
        <x:v>0</x:v>
      </x:c>
      <x:c r="Q89" s="293" t="n">
        <x:f>IF(N89="",0,XLOOKUP(N89,'平台参数'!$A$5:$A$9,'平台参数'!$G$5:$G$9,0))</x:f>
        <x:v>0</x:v>
      </x:c>
      <x:c r="R89" s="282" t="n">
        <x:f>IF(N89="",0,XLOOKUP(N89,'平台参数'!$A$5:$A$9,'平台参数'!$I$5:$I$9,0))</x:f>
        <x:v>0</x:v>
      </x:c>
      <x:c r="S89" s="282" t="n">
        <x:f>IF(O89=0,0,O89*(1-P89-Q89)-R89)</x:f>
        <x:v>0</x:v>
      </x:c>
      <x:c r="T89" s="282" t="n">
        <x:f>S89-K89</x:f>
        <x:v>0</x:v>
      </x:c>
      <x:c r="U89" s="293" t="n">
        <x:f>IFERROR(T89/K89,0)</x:f>
        <x:v>0</x:v>
      </x:c>
      <x:c r="V89" s="282" t="n">
        <x:f>IF(F89="",0,IF(M89="",TODAY()-F89,M89-F89))</x:f>
        <x:v>0</x:v>
      </x:c>
      <x:c r="W89" s="223"/>
      <x:c r="X89" s="223"/>
      <x:c r="Y89" s="223"/>
      <x:c r="Z89" s="223"/>
    </x:row>
    <x:row r="90">
      <x:c r="A90" s="223"/>
      <x:c r="B90" s="223"/>
      <x:c r="C90" s="223"/>
      <x:c r="D90" s="223"/>
      <x:c r="E90" s="223"/>
      <x:c r="F90" s="292"/>
      <x:c r="G90" s="223"/>
      <x:c r="H90" s="282"/>
      <x:c r="I90" s="293" t="n">
        <x:f>IF(G90="",0,XLOOKUP(G90,'平台参数'!$A$5:$A$9,'平台参数'!$E$5:$E$9,0)+XLOOKUP(G90,'平台参数'!$A$5:$A$9,'平台参数'!$G$5:$G$9,0))</x:f>
        <x:v>0</x:v>
      </x:c>
      <x:c r="J90" s="282" t="n">
        <x:f>IF(G90="",0,XLOOKUP(G90,'平台参数'!$A$5:$A$9,'平台参数'!$H$5:$H$9,0))</x:f>
        <x:v>0</x:v>
      </x:c>
      <x:c r="K90" s="282" t="n">
        <x:f>IF(H90=0,0,H90*(1+I90)+J90)</x:f>
        <x:v>0</x:v>
      </x:c>
      <x:c r="L90" s="292"/>
      <x:c r="M90" s="292"/>
      <x:c r="N90" s="223"/>
      <x:c r="O90" s="282"/>
      <x:c r="P90" s="293" t="n">
        <x:f>IF(N90="",0,XLOOKUP(N90,'平台参数'!$A$5:$A$9,'平台参数'!$F$5:$F$9,0))</x:f>
        <x:v>0</x:v>
      </x:c>
      <x:c r="Q90" s="293" t="n">
        <x:f>IF(N90="",0,XLOOKUP(N90,'平台参数'!$A$5:$A$9,'平台参数'!$G$5:$G$9,0))</x:f>
        <x:v>0</x:v>
      </x:c>
      <x:c r="R90" s="282" t="n">
        <x:f>IF(N90="",0,XLOOKUP(N90,'平台参数'!$A$5:$A$9,'平台参数'!$I$5:$I$9,0))</x:f>
        <x:v>0</x:v>
      </x:c>
      <x:c r="S90" s="282" t="n">
        <x:f>IF(O90=0,0,O90*(1-P90-Q90)-R90)</x:f>
        <x:v>0</x:v>
      </x:c>
      <x:c r="T90" s="282" t="n">
        <x:f>S90-K90</x:f>
        <x:v>0</x:v>
      </x:c>
      <x:c r="U90" s="293" t="n">
        <x:f>IFERROR(T90/K90,0)</x:f>
        <x:v>0</x:v>
      </x:c>
      <x:c r="V90" s="282" t="n">
        <x:f>IF(F90="",0,IF(M90="",TODAY()-F90,M90-F90))</x:f>
        <x:v>0</x:v>
      </x:c>
      <x:c r="W90" s="223"/>
      <x:c r="X90" s="223"/>
      <x:c r="Y90" s="223"/>
      <x:c r="Z90" s="223"/>
    </x:row>
    <x:row r="91">
      <x:c r="A91" s="223"/>
      <x:c r="B91" s="223"/>
      <x:c r="C91" s="223"/>
      <x:c r="D91" s="223"/>
      <x:c r="E91" s="223"/>
      <x:c r="F91" s="292"/>
      <x:c r="G91" s="223"/>
      <x:c r="H91" s="282"/>
      <x:c r="I91" s="293" t="n">
        <x:f>IF(G91="",0,XLOOKUP(G91,'平台参数'!$A$5:$A$9,'平台参数'!$E$5:$E$9,0)+XLOOKUP(G91,'平台参数'!$A$5:$A$9,'平台参数'!$G$5:$G$9,0))</x:f>
        <x:v>0</x:v>
      </x:c>
      <x:c r="J91" s="282" t="n">
        <x:f>IF(G91="",0,XLOOKUP(G91,'平台参数'!$A$5:$A$9,'平台参数'!$H$5:$H$9,0))</x:f>
        <x:v>0</x:v>
      </x:c>
      <x:c r="K91" s="282" t="n">
        <x:f>IF(H91=0,0,H91*(1+I91)+J91)</x:f>
        <x:v>0</x:v>
      </x:c>
      <x:c r="L91" s="292"/>
      <x:c r="M91" s="292"/>
      <x:c r="N91" s="223"/>
      <x:c r="O91" s="282"/>
      <x:c r="P91" s="293" t="n">
        <x:f>IF(N91="",0,XLOOKUP(N91,'平台参数'!$A$5:$A$9,'平台参数'!$F$5:$F$9,0))</x:f>
        <x:v>0</x:v>
      </x:c>
      <x:c r="Q91" s="293" t="n">
        <x:f>IF(N91="",0,XLOOKUP(N91,'平台参数'!$A$5:$A$9,'平台参数'!$G$5:$G$9,0))</x:f>
        <x:v>0</x:v>
      </x:c>
      <x:c r="R91" s="282" t="n">
        <x:f>IF(N91="",0,XLOOKUP(N91,'平台参数'!$A$5:$A$9,'平台参数'!$I$5:$I$9,0))</x:f>
        <x:v>0</x:v>
      </x:c>
      <x:c r="S91" s="282" t="n">
        <x:f>IF(O91=0,0,O91*(1-P91-Q91)-R91)</x:f>
        <x:v>0</x:v>
      </x:c>
      <x:c r="T91" s="282" t="n">
        <x:f>S91-K91</x:f>
        <x:v>0</x:v>
      </x:c>
      <x:c r="U91" s="293" t="n">
        <x:f>IFERROR(T91/K91,0)</x:f>
        <x:v>0</x:v>
      </x:c>
      <x:c r="V91" s="282" t="n">
        <x:f>IF(F91="",0,IF(M91="",TODAY()-F91,M91-F91))</x:f>
        <x:v>0</x:v>
      </x:c>
      <x:c r="W91" s="223"/>
      <x:c r="X91" s="223"/>
      <x:c r="Y91" s="223"/>
      <x:c r="Z91" s="223"/>
    </x:row>
    <x:row r="92">
      <x:c r="A92" s="223"/>
      <x:c r="B92" s="223"/>
      <x:c r="C92" s="223"/>
      <x:c r="D92" s="223"/>
      <x:c r="E92" s="223"/>
      <x:c r="F92" s="292"/>
      <x:c r="G92" s="223"/>
      <x:c r="H92" s="282"/>
      <x:c r="I92" s="293" t="n">
        <x:f>IF(G92="",0,XLOOKUP(G92,'平台参数'!$A$5:$A$9,'平台参数'!$E$5:$E$9,0)+XLOOKUP(G92,'平台参数'!$A$5:$A$9,'平台参数'!$G$5:$G$9,0))</x:f>
        <x:v>0</x:v>
      </x:c>
      <x:c r="J92" s="282" t="n">
        <x:f>IF(G92="",0,XLOOKUP(G92,'平台参数'!$A$5:$A$9,'平台参数'!$H$5:$H$9,0))</x:f>
        <x:v>0</x:v>
      </x:c>
      <x:c r="K92" s="282" t="n">
        <x:f>IF(H92=0,0,H92*(1+I92)+J92)</x:f>
        <x:v>0</x:v>
      </x:c>
      <x:c r="L92" s="292"/>
      <x:c r="M92" s="292"/>
      <x:c r="N92" s="223"/>
      <x:c r="O92" s="282"/>
      <x:c r="P92" s="293" t="n">
        <x:f>IF(N92="",0,XLOOKUP(N92,'平台参数'!$A$5:$A$9,'平台参数'!$F$5:$F$9,0))</x:f>
        <x:v>0</x:v>
      </x:c>
      <x:c r="Q92" s="293" t="n">
        <x:f>IF(N92="",0,XLOOKUP(N92,'平台参数'!$A$5:$A$9,'平台参数'!$G$5:$G$9,0))</x:f>
        <x:v>0</x:v>
      </x:c>
      <x:c r="R92" s="282" t="n">
        <x:f>IF(N92="",0,XLOOKUP(N92,'平台参数'!$A$5:$A$9,'平台参数'!$I$5:$I$9,0))</x:f>
        <x:v>0</x:v>
      </x:c>
      <x:c r="S92" s="282" t="n">
        <x:f>IF(O92=0,0,O92*(1-P92-Q92)-R92)</x:f>
        <x:v>0</x:v>
      </x:c>
      <x:c r="T92" s="282" t="n">
        <x:f>S92-K92</x:f>
        <x:v>0</x:v>
      </x:c>
      <x:c r="U92" s="293" t="n">
        <x:f>IFERROR(T92/K92,0)</x:f>
        <x:v>0</x:v>
      </x:c>
      <x:c r="V92" s="282" t="n">
        <x:f>IF(F92="",0,IF(M92="",TODAY()-F92,M92-F92))</x:f>
        <x:v>0</x:v>
      </x:c>
      <x:c r="W92" s="223"/>
      <x:c r="X92" s="223"/>
      <x:c r="Y92" s="223"/>
      <x:c r="Z92" s="223"/>
    </x:row>
    <x:row r="93">
      <x:c r="A93" s="223"/>
      <x:c r="B93" s="223"/>
      <x:c r="C93" s="223"/>
      <x:c r="D93" s="223"/>
      <x:c r="E93" s="223"/>
      <x:c r="F93" s="292"/>
      <x:c r="G93" s="223"/>
      <x:c r="H93" s="282"/>
      <x:c r="I93" s="293" t="n">
        <x:f>IF(G93="",0,XLOOKUP(G93,'平台参数'!$A$5:$A$9,'平台参数'!$E$5:$E$9,0)+XLOOKUP(G93,'平台参数'!$A$5:$A$9,'平台参数'!$G$5:$G$9,0))</x:f>
        <x:v>0</x:v>
      </x:c>
      <x:c r="J93" s="282" t="n">
        <x:f>IF(G93="",0,XLOOKUP(G93,'平台参数'!$A$5:$A$9,'平台参数'!$H$5:$H$9,0))</x:f>
        <x:v>0</x:v>
      </x:c>
      <x:c r="K93" s="282" t="n">
        <x:f>IF(H93=0,0,H93*(1+I93)+J93)</x:f>
        <x:v>0</x:v>
      </x:c>
      <x:c r="L93" s="292"/>
      <x:c r="M93" s="292"/>
      <x:c r="N93" s="223"/>
      <x:c r="O93" s="282"/>
      <x:c r="P93" s="293" t="n">
        <x:f>IF(N93="",0,XLOOKUP(N93,'平台参数'!$A$5:$A$9,'平台参数'!$F$5:$F$9,0))</x:f>
        <x:v>0</x:v>
      </x:c>
      <x:c r="Q93" s="293" t="n">
        <x:f>IF(N93="",0,XLOOKUP(N93,'平台参数'!$A$5:$A$9,'平台参数'!$G$5:$G$9,0))</x:f>
        <x:v>0</x:v>
      </x:c>
      <x:c r="R93" s="282" t="n">
        <x:f>IF(N93="",0,XLOOKUP(N93,'平台参数'!$A$5:$A$9,'平台参数'!$I$5:$I$9,0))</x:f>
        <x:v>0</x:v>
      </x:c>
      <x:c r="S93" s="282" t="n">
        <x:f>IF(O93=0,0,O93*(1-P93-Q93)-R93)</x:f>
        <x:v>0</x:v>
      </x:c>
      <x:c r="T93" s="282" t="n">
        <x:f>S93-K93</x:f>
        <x:v>0</x:v>
      </x:c>
      <x:c r="U93" s="293" t="n">
        <x:f>IFERROR(T93/K93,0)</x:f>
        <x:v>0</x:v>
      </x:c>
      <x:c r="V93" s="282" t="n">
        <x:f>IF(F93="",0,IF(M93="",TODAY()-F93,M93-F93))</x:f>
        <x:v>0</x:v>
      </x:c>
      <x:c r="W93" s="223"/>
      <x:c r="X93" s="223"/>
      <x:c r="Y93" s="223"/>
      <x:c r="Z93" s="223"/>
    </x:row>
    <x:row r="94">
      <x:c r="A94" s="223"/>
      <x:c r="B94" s="223"/>
      <x:c r="C94" s="223"/>
      <x:c r="D94" s="223"/>
      <x:c r="E94" s="223"/>
      <x:c r="F94" s="292"/>
      <x:c r="G94" s="223"/>
      <x:c r="H94" s="282"/>
      <x:c r="I94" s="293" t="n">
        <x:f>IF(G94="",0,XLOOKUP(G94,'平台参数'!$A$5:$A$9,'平台参数'!$E$5:$E$9,0)+XLOOKUP(G94,'平台参数'!$A$5:$A$9,'平台参数'!$G$5:$G$9,0))</x:f>
        <x:v>0</x:v>
      </x:c>
      <x:c r="J94" s="282" t="n">
        <x:f>IF(G94="",0,XLOOKUP(G94,'平台参数'!$A$5:$A$9,'平台参数'!$H$5:$H$9,0))</x:f>
        <x:v>0</x:v>
      </x:c>
      <x:c r="K94" s="282" t="n">
        <x:f>IF(H94=0,0,H94*(1+I94)+J94)</x:f>
        <x:v>0</x:v>
      </x:c>
      <x:c r="L94" s="292"/>
      <x:c r="M94" s="292"/>
      <x:c r="N94" s="223"/>
      <x:c r="O94" s="282"/>
      <x:c r="P94" s="293" t="n">
        <x:f>IF(N94="",0,XLOOKUP(N94,'平台参数'!$A$5:$A$9,'平台参数'!$F$5:$F$9,0))</x:f>
        <x:v>0</x:v>
      </x:c>
      <x:c r="Q94" s="293" t="n">
        <x:f>IF(N94="",0,XLOOKUP(N94,'平台参数'!$A$5:$A$9,'平台参数'!$G$5:$G$9,0))</x:f>
        <x:v>0</x:v>
      </x:c>
      <x:c r="R94" s="282" t="n">
        <x:f>IF(N94="",0,XLOOKUP(N94,'平台参数'!$A$5:$A$9,'平台参数'!$I$5:$I$9,0))</x:f>
        <x:v>0</x:v>
      </x:c>
      <x:c r="S94" s="282" t="n">
        <x:f>IF(O94=0,0,O94*(1-P94-Q94)-R94)</x:f>
        <x:v>0</x:v>
      </x:c>
      <x:c r="T94" s="282" t="n">
        <x:f>S94-K94</x:f>
        <x:v>0</x:v>
      </x:c>
      <x:c r="U94" s="293" t="n">
        <x:f>IFERROR(T94/K94,0)</x:f>
        <x:v>0</x:v>
      </x:c>
      <x:c r="V94" s="282" t="n">
        <x:f>IF(F94="",0,IF(M94="",TODAY()-F94,M94-F94))</x:f>
        <x:v>0</x:v>
      </x:c>
      <x:c r="W94" s="223"/>
      <x:c r="X94" s="223"/>
      <x:c r="Y94" s="223"/>
      <x:c r="Z94" s="223"/>
    </x:row>
    <x:row r="95">
      <x:c r="A95" s="223"/>
      <x:c r="B95" s="223"/>
      <x:c r="C95" s="223"/>
      <x:c r="D95" s="223"/>
      <x:c r="E95" s="223"/>
      <x:c r="F95" s="292"/>
      <x:c r="G95" s="223"/>
      <x:c r="H95" s="282"/>
      <x:c r="I95" s="293" t="n">
        <x:f>IF(G95="",0,XLOOKUP(G95,'平台参数'!$A$5:$A$9,'平台参数'!$E$5:$E$9,0)+XLOOKUP(G95,'平台参数'!$A$5:$A$9,'平台参数'!$G$5:$G$9,0))</x:f>
        <x:v>0</x:v>
      </x:c>
      <x:c r="J95" s="282" t="n">
        <x:f>IF(G95="",0,XLOOKUP(G95,'平台参数'!$A$5:$A$9,'平台参数'!$H$5:$H$9,0))</x:f>
        <x:v>0</x:v>
      </x:c>
      <x:c r="K95" s="282" t="n">
        <x:f>IF(H95=0,0,H95*(1+I95)+J95)</x:f>
        <x:v>0</x:v>
      </x:c>
      <x:c r="L95" s="292"/>
      <x:c r="M95" s="292"/>
      <x:c r="N95" s="223"/>
      <x:c r="O95" s="282"/>
      <x:c r="P95" s="293" t="n">
        <x:f>IF(N95="",0,XLOOKUP(N95,'平台参数'!$A$5:$A$9,'平台参数'!$F$5:$F$9,0))</x:f>
        <x:v>0</x:v>
      </x:c>
      <x:c r="Q95" s="293" t="n">
        <x:f>IF(N95="",0,XLOOKUP(N95,'平台参数'!$A$5:$A$9,'平台参数'!$G$5:$G$9,0))</x:f>
        <x:v>0</x:v>
      </x:c>
      <x:c r="R95" s="282" t="n">
        <x:f>IF(N95="",0,XLOOKUP(N95,'平台参数'!$A$5:$A$9,'平台参数'!$I$5:$I$9,0))</x:f>
        <x:v>0</x:v>
      </x:c>
      <x:c r="S95" s="282" t="n">
        <x:f>IF(O95=0,0,O95*(1-P95-Q95)-R95)</x:f>
        <x:v>0</x:v>
      </x:c>
      <x:c r="T95" s="282" t="n">
        <x:f>S95-K95</x:f>
        <x:v>0</x:v>
      </x:c>
      <x:c r="U95" s="293" t="n">
        <x:f>IFERROR(T95/K95,0)</x:f>
        <x:v>0</x:v>
      </x:c>
      <x:c r="V95" s="282" t="n">
        <x:f>IF(F95="",0,IF(M95="",TODAY()-F95,M95-F95))</x:f>
        <x:v>0</x:v>
      </x:c>
      <x:c r="W95" s="223"/>
      <x:c r="X95" s="223"/>
      <x:c r="Y95" s="223"/>
      <x:c r="Z95" s="223"/>
    </x:row>
    <x:row r="96">
      <x:c r="A96" s="223"/>
      <x:c r="B96" s="223"/>
      <x:c r="C96" s="223"/>
      <x:c r="D96" s="223"/>
      <x:c r="E96" s="223"/>
      <x:c r="F96" s="292"/>
      <x:c r="G96" s="223"/>
      <x:c r="H96" s="282"/>
      <x:c r="I96" s="293" t="n">
        <x:f>IF(G96="",0,XLOOKUP(G96,'平台参数'!$A$5:$A$9,'平台参数'!$E$5:$E$9,0)+XLOOKUP(G96,'平台参数'!$A$5:$A$9,'平台参数'!$G$5:$G$9,0))</x:f>
        <x:v>0</x:v>
      </x:c>
      <x:c r="J96" s="282" t="n">
        <x:f>IF(G96="",0,XLOOKUP(G96,'平台参数'!$A$5:$A$9,'平台参数'!$H$5:$H$9,0))</x:f>
        <x:v>0</x:v>
      </x:c>
      <x:c r="K96" s="282" t="n">
        <x:f>IF(H96=0,0,H96*(1+I96)+J96)</x:f>
        <x:v>0</x:v>
      </x:c>
      <x:c r="L96" s="292"/>
      <x:c r="M96" s="292"/>
      <x:c r="N96" s="223"/>
      <x:c r="O96" s="282"/>
      <x:c r="P96" s="293" t="n">
        <x:f>IF(N96="",0,XLOOKUP(N96,'平台参数'!$A$5:$A$9,'平台参数'!$F$5:$F$9,0))</x:f>
        <x:v>0</x:v>
      </x:c>
      <x:c r="Q96" s="293" t="n">
        <x:f>IF(N96="",0,XLOOKUP(N96,'平台参数'!$A$5:$A$9,'平台参数'!$G$5:$G$9,0))</x:f>
        <x:v>0</x:v>
      </x:c>
      <x:c r="R96" s="282" t="n">
        <x:f>IF(N96="",0,XLOOKUP(N96,'平台参数'!$A$5:$A$9,'平台参数'!$I$5:$I$9,0))</x:f>
        <x:v>0</x:v>
      </x:c>
      <x:c r="S96" s="282" t="n">
        <x:f>IF(O96=0,0,O96*(1-P96-Q96)-R96)</x:f>
        <x:v>0</x:v>
      </x:c>
      <x:c r="T96" s="282" t="n">
        <x:f>S96-K96</x:f>
        <x:v>0</x:v>
      </x:c>
      <x:c r="U96" s="293" t="n">
        <x:f>IFERROR(T96/K96,0)</x:f>
        <x:v>0</x:v>
      </x:c>
      <x:c r="V96" s="282" t="n">
        <x:f>IF(F96="",0,IF(M96="",TODAY()-F96,M96-F96))</x:f>
        <x:v>0</x:v>
      </x:c>
      <x:c r="W96" s="223"/>
      <x:c r="X96" s="223"/>
      <x:c r="Y96" s="223"/>
      <x:c r="Z96" s="223"/>
    </x:row>
    <x:row r="97">
      <x:c r="A97" s="223"/>
      <x:c r="B97" s="223"/>
      <x:c r="C97" s="223"/>
      <x:c r="D97" s="223"/>
      <x:c r="E97" s="223"/>
      <x:c r="F97" s="292"/>
      <x:c r="G97" s="223"/>
      <x:c r="H97" s="282"/>
      <x:c r="I97" s="293" t="n">
        <x:f>IF(G97="",0,XLOOKUP(G97,'平台参数'!$A$5:$A$9,'平台参数'!$E$5:$E$9,0)+XLOOKUP(G97,'平台参数'!$A$5:$A$9,'平台参数'!$G$5:$G$9,0))</x:f>
        <x:v>0</x:v>
      </x:c>
      <x:c r="J97" s="282" t="n">
        <x:f>IF(G97="",0,XLOOKUP(G97,'平台参数'!$A$5:$A$9,'平台参数'!$H$5:$H$9,0))</x:f>
        <x:v>0</x:v>
      </x:c>
      <x:c r="K97" s="282" t="n">
        <x:f>IF(H97=0,0,H97*(1+I97)+J97)</x:f>
        <x:v>0</x:v>
      </x:c>
      <x:c r="L97" s="292"/>
      <x:c r="M97" s="292"/>
      <x:c r="N97" s="223"/>
      <x:c r="O97" s="282"/>
      <x:c r="P97" s="293" t="n">
        <x:f>IF(N97="",0,XLOOKUP(N97,'平台参数'!$A$5:$A$9,'平台参数'!$F$5:$F$9,0))</x:f>
        <x:v>0</x:v>
      </x:c>
      <x:c r="Q97" s="293" t="n">
        <x:f>IF(N97="",0,XLOOKUP(N97,'平台参数'!$A$5:$A$9,'平台参数'!$G$5:$G$9,0))</x:f>
        <x:v>0</x:v>
      </x:c>
      <x:c r="R97" s="282" t="n">
        <x:f>IF(N97="",0,XLOOKUP(N97,'平台参数'!$A$5:$A$9,'平台参数'!$I$5:$I$9,0))</x:f>
        <x:v>0</x:v>
      </x:c>
      <x:c r="S97" s="282" t="n">
        <x:f>IF(O97=0,0,O97*(1-P97-Q97)-R97)</x:f>
        <x:v>0</x:v>
      </x:c>
      <x:c r="T97" s="282" t="n">
        <x:f>S97-K97</x:f>
        <x:v>0</x:v>
      </x:c>
      <x:c r="U97" s="293" t="n">
        <x:f>IFERROR(T97/K97,0)</x:f>
        <x:v>0</x:v>
      </x:c>
      <x:c r="V97" s="282" t="n">
        <x:f>IF(F97="",0,IF(M97="",TODAY()-F97,M97-F97))</x:f>
        <x:v>0</x:v>
      </x:c>
      <x:c r="W97" s="223"/>
      <x:c r="X97" s="223"/>
      <x:c r="Y97" s="223"/>
      <x:c r="Z97" s="223"/>
    </x:row>
    <x:row r="98">
      <x:c r="A98" s="223"/>
      <x:c r="B98" s="223"/>
      <x:c r="C98" s="223"/>
      <x:c r="D98" s="223"/>
      <x:c r="E98" s="223"/>
      <x:c r="F98" s="292"/>
      <x:c r="G98" s="223"/>
      <x:c r="H98" s="282"/>
      <x:c r="I98" s="293" t="n">
        <x:f>IF(G98="",0,XLOOKUP(G98,'平台参数'!$A$5:$A$9,'平台参数'!$E$5:$E$9,0)+XLOOKUP(G98,'平台参数'!$A$5:$A$9,'平台参数'!$G$5:$G$9,0))</x:f>
        <x:v>0</x:v>
      </x:c>
      <x:c r="J98" s="282" t="n">
        <x:f>IF(G98="",0,XLOOKUP(G98,'平台参数'!$A$5:$A$9,'平台参数'!$H$5:$H$9,0))</x:f>
        <x:v>0</x:v>
      </x:c>
      <x:c r="K98" s="282" t="n">
        <x:f>IF(H98=0,0,H98*(1+I98)+J98)</x:f>
        <x:v>0</x:v>
      </x:c>
      <x:c r="L98" s="292"/>
      <x:c r="M98" s="292"/>
      <x:c r="N98" s="223"/>
      <x:c r="O98" s="282"/>
      <x:c r="P98" s="293" t="n">
        <x:f>IF(N98="",0,XLOOKUP(N98,'平台参数'!$A$5:$A$9,'平台参数'!$F$5:$F$9,0))</x:f>
        <x:v>0</x:v>
      </x:c>
      <x:c r="Q98" s="293" t="n">
        <x:f>IF(N98="",0,XLOOKUP(N98,'平台参数'!$A$5:$A$9,'平台参数'!$G$5:$G$9,0))</x:f>
        <x:v>0</x:v>
      </x:c>
      <x:c r="R98" s="282" t="n">
        <x:f>IF(N98="",0,XLOOKUP(N98,'平台参数'!$A$5:$A$9,'平台参数'!$I$5:$I$9,0))</x:f>
        <x:v>0</x:v>
      </x:c>
      <x:c r="S98" s="282" t="n">
        <x:f>IF(O98=0,0,O98*(1-P98-Q98)-R98)</x:f>
        <x:v>0</x:v>
      </x:c>
      <x:c r="T98" s="282" t="n">
        <x:f>S98-K98</x:f>
        <x:v>0</x:v>
      </x:c>
      <x:c r="U98" s="293" t="n">
        <x:f>IFERROR(T98/K98,0)</x:f>
        <x:v>0</x:v>
      </x:c>
      <x:c r="V98" s="282" t="n">
        <x:f>IF(F98="",0,IF(M98="",TODAY()-F98,M98-F98))</x:f>
        <x:v>0</x:v>
      </x:c>
      <x:c r="W98" s="223"/>
      <x:c r="X98" s="223"/>
      <x:c r="Y98" s="223"/>
      <x:c r="Z98" s="223"/>
    </x:row>
    <x:row r="99">
      <x:c r="A99" s="223"/>
      <x:c r="B99" s="223"/>
      <x:c r="C99" s="223"/>
      <x:c r="D99" s="223"/>
      <x:c r="E99" s="223"/>
      <x:c r="F99" s="292"/>
      <x:c r="G99" s="223"/>
      <x:c r="H99" s="282"/>
      <x:c r="I99" s="293" t="n">
        <x:f>IF(G99="",0,XLOOKUP(G99,'平台参数'!$A$5:$A$9,'平台参数'!$E$5:$E$9,0)+XLOOKUP(G99,'平台参数'!$A$5:$A$9,'平台参数'!$G$5:$G$9,0))</x:f>
        <x:v>0</x:v>
      </x:c>
      <x:c r="J99" s="282" t="n">
        <x:f>IF(G99="",0,XLOOKUP(G99,'平台参数'!$A$5:$A$9,'平台参数'!$H$5:$H$9,0))</x:f>
        <x:v>0</x:v>
      </x:c>
      <x:c r="K99" s="282" t="n">
        <x:f>IF(H99=0,0,H99*(1+I99)+J99)</x:f>
        <x:v>0</x:v>
      </x:c>
      <x:c r="L99" s="292"/>
      <x:c r="M99" s="292"/>
      <x:c r="N99" s="223"/>
      <x:c r="O99" s="282"/>
      <x:c r="P99" s="293" t="n">
        <x:f>IF(N99="",0,XLOOKUP(N99,'平台参数'!$A$5:$A$9,'平台参数'!$F$5:$F$9,0))</x:f>
        <x:v>0</x:v>
      </x:c>
      <x:c r="Q99" s="293" t="n">
        <x:f>IF(N99="",0,XLOOKUP(N99,'平台参数'!$A$5:$A$9,'平台参数'!$G$5:$G$9,0))</x:f>
        <x:v>0</x:v>
      </x:c>
      <x:c r="R99" s="282" t="n">
        <x:f>IF(N99="",0,XLOOKUP(N99,'平台参数'!$A$5:$A$9,'平台参数'!$I$5:$I$9,0))</x:f>
        <x:v>0</x:v>
      </x:c>
      <x:c r="S99" s="282" t="n">
        <x:f>IF(O99=0,0,O99*(1-P99-Q99)-R99)</x:f>
        <x:v>0</x:v>
      </x:c>
      <x:c r="T99" s="282" t="n">
        <x:f>S99-K99</x:f>
        <x:v>0</x:v>
      </x:c>
      <x:c r="U99" s="293" t="n">
        <x:f>IFERROR(T99/K99,0)</x:f>
        <x:v>0</x:v>
      </x:c>
      <x:c r="V99" s="282" t="n">
        <x:f>IF(F99="",0,IF(M99="",TODAY()-F99,M99-F99))</x:f>
        <x:v>0</x:v>
      </x:c>
      <x:c r="W99" s="223"/>
      <x:c r="X99" s="223"/>
      <x:c r="Y99" s="223"/>
      <x:c r="Z99" s="223"/>
    </x:row>
    <x:row r="100">
      <x:c r="A100" s="223"/>
      <x:c r="B100" s="223"/>
      <x:c r="C100" s="223"/>
      <x:c r="D100" s="223"/>
      <x:c r="E100" s="223"/>
      <x:c r="F100" s="292"/>
      <x:c r="G100" s="223"/>
      <x:c r="H100" s="282"/>
      <x:c r="I100" s="293" t="n">
        <x:f>IF(G100="",0,XLOOKUP(G100,'平台参数'!$A$5:$A$9,'平台参数'!$E$5:$E$9,0)+XLOOKUP(G100,'平台参数'!$A$5:$A$9,'平台参数'!$G$5:$G$9,0))</x:f>
        <x:v>0</x:v>
      </x:c>
      <x:c r="J100" s="282" t="n">
        <x:f>IF(G100="",0,XLOOKUP(G100,'平台参数'!$A$5:$A$9,'平台参数'!$H$5:$H$9,0))</x:f>
        <x:v>0</x:v>
      </x:c>
      <x:c r="K100" s="282" t="n">
        <x:f>IF(H100=0,0,H100*(1+I100)+J100)</x:f>
        <x:v>0</x:v>
      </x:c>
      <x:c r="L100" s="292"/>
      <x:c r="M100" s="292"/>
      <x:c r="N100" s="223"/>
      <x:c r="O100" s="282"/>
      <x:c r="P100" s="293" t="n">
        <x:f>IF(N100="",0,XLOOKUP(N100,'平台参数'!$A$5:$A$9,'平台参数'!$F$5:$F$9,0))</x:f>
        <x:v>0</x:v>
      </x:c>
      <x:c r="Q100" s="293" t="n">
        <x:f>IF(N100="",0,XLOOKUP(N100,'平台参数'!$A$5:$A$9,'平台参数'!$G$5:$G$9,0))</x:f>
        <x:v>0</x:v>
      </x:c>
      <x:c r="R100" s="282" t="n">
        <x:f>IF(N100="",0,XLOOKUP(N100,'平台参数'!$A$5:$A$9,'平台参数'!$I$5:$I$9,0))</x:f>
        <x:v>0</x:v>
      </x:c>
      <x:c r="S100" s="282" t="n">
        <x:f>IF(O100=0,0,O100*(1-P100-Q100)-R100)</x:f>
        <x:v>0</x:v>
      </x:c>
      <x:c r="T100" s="282" t="n">
        <x:f>S100-K100</x:f>
        <x:v>0</x:v>
      </x:c>
      <x:c r="U100" s="293" t="n">
        <x:f>IFERROR(T100/K100,0)</x:f>
        <x:v>0</x:v>
      </x:c>
      <x:c r="V100" s="282" t="n">
        <x:f>IF(F100="",0,IF(M100="",TODAY()-F100,M100-F100))</x:f>
        <x:v>0</x:v>
      </x:c>
      <x:c r="W100" s="223"/>
      <x:c r="X100" s="223"/>
      <x:c r="Y100" s="223"/>
      <x:c r="Z100" s="223"/>
    </x:row>
    <x:row r="101">
      <x:c r="A101" s="223"/>
      <x:c r="B101" s="223"/>
      <x:c r="C101" s="223"/>
      <x:c r="D101" s="223"/>
      <x:c r="E101" s="223"/>
      <x:c r="F101" s="292"/>
      <x:c r="G101" s="223"/>
      <x:c r="H101" s="282"/>
      <x:c r="I101" s="293" t="n">
        <x:f>IF(G101="",0,XLOOKUP(G101,'平台参数'!$A$5:$A$9,'平台参数'!$E$5:$E$9,0)+XLOOKUP(G101,'平台参数'!$A$5:$A$9,'平台参数'!$G$5:$G$9,0))</x:f>
        <x:v>0</x:v>
      </x:c>
      <x:c r="J101" s="282" t="n">
        <x:f>IF(G101="",0,XLOOKUP(G101,'平台参数'!$A$5:$A$9,'平台参数'!$H$5:$H$9,0))</x:f>
        <x:v>0</x:v>
      </x:c>
      <x:c r="K101" s="282" t="n">
        <x:f>IF(H101=0,0,H101*(1+I101)+J101)</x:f>
        <x:v>0</x:v>
      </x:c>
      <x:c r="L101" s="292"/>
      <x:c r="M101" s="292"/>
      <x:c r="N101" s="223"/>
      <x:c r="O101" s="282"/>
      <x:c r="P101" s="293" t="n">
        <x:f>IF(N101="",0,XLOOKUP(N101,'平台参数'!$A$5:$A$9,'平台参数'!$F$5:$F$9,0))</x:f>
        <x:v>0</x:v>
      </x:c>
      <x:c r="Q101" s="293" t="n">
        <x:f>IF(N101="",0,XLOOKUP(N101,'平台参数'!$A$5:$A$9,'平台参数'!$G$5:$G$9,0))</x:f>
        <x:v>0</x:v>
      </x:c>
      <x:c r="R101" s="282" t="n">
        <x:f>IF(N101="",0,XLOOKUP(N101,'平台参数'!$A$5:$A$9,'平台参数'!$I$5:$I$9,0))</x:f>
        <x:v>0</x:v>
      </x:c>
      <x:c r="S101" s="282" t="n">
        <x:f>IF(O101=0,0,O101*(1-P101-Q101)-R101)</x:f>
        <x:v>0</x:v>
      </x:c>
      <x:c r="T101" s="282" t="n">
        <x:f>S101-K101</x:f>
        <x:v>0</x:v>
      </x:c>
      <x:c r="U101" s="293" t="n">
        <x:f>IFERROR(T101/K101,0)</x:f>
        <x:v>0</x:v>
      </x:c>
      <x:c r="V101" s="282" t="n">
        <x:f>IF(F101="",0,IF(M101="",TODAY()-F101,M101-F101))</x:f>
        <x:v>0</x:v>
      </x:c>
      <x:c r="W101" s="223"/>
      <x:c r="X101" s="223"/>
      <x:c r="Y101" s="223"/>
      <x:c r="Z101" s="223"/>
    </x:row>
    <x:row r="102">
      <x:c r="A102" s="223"/>
      <x:c r="B102" s="223"/>
      <x:c r="C102" s="223"/>
      <x:c r="D102" s="223"/>
      <x:c r="E102" s="223"/>
      <x:c r="F102" s="292"/>
      <x:c r="G102" s="223"/>
      <x:c r="H102" s="282"/>
      <x:c r="I102" s="293" t="n">
        <x:f>IF(G102="",0,XLOOKUP(G102,'平台参数'!$A$5:$A$9,'平台参数'!$E$5:$E$9,0)+XLOOKUP(G102,'平台参数'!$A$5:$A$9,'平台参数'!$G$5:$G$9,0))</x:f>
        <x:v>0</x:v>
      </x:c>
      <x:c r="J102" s="282" t="n">
        <x:f>IF(G102="",0,XLOOKUP(G102,'平台参数'!$A$5:$A$9,'平台参数'!$H$5:$H$9,0))</x:f>
        <x:v>0</x:v>
      </x:c>
      <x:c r="K102" s="282" t="n">
        <x:f>IF(H102=0,0,H102*(1+I102)+J102)</x:f>
        <x:v>0</x:v>
      </x:c>
      <x:c r="L102" s="292"/>
      <x:c r="M102" s="292"/>
      <x:c r="N102" s="223"/>
      <x:c r="O102" s="282"/>
      <x:c r="P102" s="293" t="n">
        <x:f>IF(N102="",0,XLOOKUP(N102,'平台参数'!$A$5:$A$9,'平台参数'!$F$5:$F$9,0))</x:f>
        <x:v>0</x:v>
      </x:c>
      <x:c r="Q102" s="293" t="n">
        <x:f>IF(N102="",0,XLOOKUP(N102,'平台参数'!$A$5:$A$9,'平台参数'!$G$5:$G$9,0))</x:f>
        <x:v>0</x:v>
      </x:c>
      <x:c r="R102" s="282" t="n">
        <x:f>IF(N102="",0,XLOOKUP(N102,'平台参数'!$A$5:$A$9,'平台参数'!$I$5:$I$9,0))</x:f>
        <x:v>0</x:v>
      </x:c>
      <x:c r="S102" s="282" t="n">
        <x:f>IF(O102=0,0,O102*(1-P102-Q102)-R102)</x:f>
        <x:v>0</x:v>
      </x:c>
      <x:c r="T102" s="282" t="n">
        <x:f>S102-K102</x:f>
        <x:v>0</x:v>
      </x:c>
      <x:c r="U102" s="293" t="n">
        <x:f>IFERROR(T102/K102,0)</x:f>
        <x:v>0</x:v>
      </x:c>
      <x:c r="V102" s="282" t="n">
        <x:f>IF(F102="",0,IF(M102="",TODAY()-F102,M102-F102))</x:f>
        <x:v>0</x:v>
      </x:c>
      <x:c r="W102" s="223"/>
      <x:c r="X102" s="223"/>
      <x:c r="Y102" s="223"/>
      <x:c r="Z102" s="223"/>
    </x:row>
    <x:row r="103">
      <x:c r="A103" s="223"/>
      <x:c r="B103" s="223"/>
      <x:c r="C103" s="223"/>
      <x:c r="D103" s="223"/>
      <x:c r="E103" s="223"/>
      <x:c r="F103" s="292"/>
      <x:c r="G103" s="223"/>
      <x:c r="H103" s="282"/>
      <x:c r="I103" s="293" t="n">
        <x:f>IF(G103="",0,XLOOKUP(G103,'平台参数'!$A$5:$A$9,'平台参数'!$E$5:$E$9,0)+XLOOKUP(G103,'平台参数'!$A$5:$A$9,'平台参数'!$G$5:$G$9,0))</x:f>
        <x:v>0</x:v>
      </x:c>
      <x:c r="J103" s="282" t="n">
        <x:f>IF(G103="",0,XLOOKUP(G103,'平台参数'!$A$5:$A$9,'平台参数'!$H$5:$H$9,0))</x:f>
        <x:v>0</x:v>
      </x:c>
      <x:c r="K103" s="282" t="n">
        <x:f>IF(H103=0,0,H103*(1+I103)+J103)</x:f>
        <x:v>0</x:v>
      </x:c>
      <x:c r="L103" s="292"/>
      <x:c r="M103" s="292"/>
      <x:c r="N103" s="223"/>
      <x:c r="O103" s="282"/>
      <x:c r="P103" s="293" t="n">
        <x:f>IF(N103="",0,XLOOKUP(N103,'平台参数'!$A$5:$A$9,'平台参数'!$F$5:$F$9,0))</x:f>
        <x:v>0</x:v>
      </x:c>
      <x:c r="Q103" s="293" t="n">
        <x:f>IF(N103="",0,XLOOKUP(N103,'平台参数'!$A$5:$A$9,'平台参数'!$G$5:$G$9,0))</x:f>
        <x:v>0</x:v>
      </x:c>
      <x:c r="R103" s="282" t="n">
        <x:f>IF(N103="",0,XLOOKUP(N103,'平台参数'!$A$5:$A$9,'平台参数'!$I$5:$I$9,0))</x:f>
        <x:v>0</x:v>
      </x:c>
      <x:c r="S103" s="282" t="n">
        <x:f>IF(O103=0,0,O103*(1-P103-Q103)-R103)</x:f>
        <x:v>0</x:v>
      </x:c>
      <x:c r="T103" s="282" t="n">
        <x:f>S103-K103</x:f>
        <x:v>0</x:v>
      </x:c>
      <x:c r="U103" s="293" t="n">
        <x:f>IFERROR(T103/K103,0)</x:f>
        <x:v>0</x:v>
      </x:c>
      <x:c r="V103" s="282" t="n">
        <x:f>IF(F103="",0,IF(M103="",TODAY()-F103,M103-F103))</x:f>
        <x:v>0</x:v>
      </x:c>
      <x:c r="W103" s="223"/>
      <x:c r="X103" s="223"/>
      <x:c r="Y103" s="223"/>
      <x:c r="Z103" s="223"/>
    </x:row>
    <x:row r="104">
      <x:c r="A104" s="223"/>
      <x:c r="B104" s="223"/>
      <x:c r="C104" s="223"/>
      <x:c r="D104" s="223"/>
      <x:c r="E104" s="223"/>
      <x:c r="F104" s="292"/>
      <x:c r="G104" s="223"/>
      <x:c r="H104" s="282"/>
      <x:c r="I104" s="293" t="n">
        <x:f>IF(G104="",0,XLOOKUP(G104,'平台参数'!$A$5:$A$9,'平台参数'!$E$5:$E$9,0)+XLOOKUP(G104,'平台参数'!$A$5:$A$9,'平台参数'!$G$5:$G$9,0))</x:f>
        <x:v>0</x:v>
      </x:c>
      <x:c r="J104" s="282" t="n">
        <x:f>IF(G104="",0,XLOOKUP(G104,'平台参数'!$A$5:$A$9,'平台参数'!$H$5:$H$9,0))</x:f>
        <x:v>0</x:v>
      </x:c>
      <x:c r="K104" s="282" t="n">
        <x:f>IF(H104=0,0,H104*(1+I104)+J104)</x:f>
        <x:v>0</x:v>
      </x:c>
      <x:c r="L104" s="292"/>
      <x:c r="M104" s="292"/>
      <x:c r="N104" s="223"/>
      <x:c r="O104" s="282"/>
      <x:c r="P104" s="293" t="n">
        <x:f>IF(N104="",0,XLOOKUP(N104,'平台参数'!$A$5:$A$9,'平台参数'!$F$5:$F$9,0))</x:f>
        <x:v>0</x:v>
      </x:c>
      <x:c r="Q104" s="293" t="n">
        <x:f>IF(N104="",0,XLOOKUP(N104,'平台参数'!$A$5:$A$9,'平台参数'!$G$5:$G$9,0))</x:f>
        <x:v>0</x:v>
      </x:c>
      <x:c r="R104" s="282" t="n">
        <x:f>IF(N104="",0,XLOOKUP(N104,'平台参数'!$A$5:$A$9,'平台参数'!$I$5:$I$9,0))</x:f>
        <x:v>0</x:v>
      </x:c>
      <x:c r="S104" s="282" t="n">
        <x:f>IF(O104=0,0,O104*(1-P104-Q104)-R104)</x:f>
        <x:v>0</x:v>
      </x:c>
      <x:c r="T104" s="282" t="n">
        <x:f>S104-K104</x:f>
        <x:v>0</x:v>
      </x:c>
      <x:c r="U104" s="293" t="n">
        <x:f>IFERROR(T104/K104,0)</x:f>
        <x:v>0</x:v>
      </x:c>
      <x:c r="V104" s="282" t="n">
        <x:f>IF(F104="",0,IF(M104="",TODAY()-F104,M104-F104))</x:f>
        <x:v>0</x:v>
      </x:c>
      <x:c r="W104" s="223"/>
      <x:c r="X104" s="223"/>
      <x:c r="Y104" s="223"/>
      <x:c r="Z104" s="223"/>
    </x:row>
    <x:row r="105">
      <x:c r="A105" s="223"/>
      <x:c r="B105" s="223"/>
      <x:c r="C105" s="223"/>
      <x:c r="D105" s="223"/>
      <x:c r="E105" s="223"/>
      <x:c r="F105" s="292"/>
      <x:c r="G105" s="223"/>
      <x:c r="H105" s="282"/>
      <x:c r="I105" s="293" t="n">
        <x:f>IF(G105="",0,XLOOKUP(G105,'平台参数'!$A$5:$A$9,'平台参数'!$E$5:$E$9,0)+XLOOKUP(G105,'平台参数'!$A$5:$A$9,'平台参数'!$G$5:$G$9,0))</x:f>
        <x:v>0</x:v>
      </x:c>
      <x:c r="J105" s="282" t="n">
        <x:f>IF(G105="",0,XLOOKUP(G105,'平台参数'!$A$5:$A$9,'平台参数'!$H$5:$H$9,0))</x:f>
        <x:v>0</x:v>
      </x:c>
      <x:c r="K105" s="282" t="n">
        <x:f>IF(H105=0,0,H105*(1+I105)+J105)</x:f>
        <x:v>0</x:v>
      </x:c>
      <x:c r="L105" s="292"/>
      <x:c r="M105" s="292"/>
      <x:c r="N105" s="223"/>
      <x:c r="O105" s="282"/>
      <x:c r="P105" s="293" t="n">
        <x:f>IF(N105="",0,XLOOKUP(N105,'平台参数'!$A$5:$A$9,'平台参数'!$F$5:$F$9,0))</x:f>
        <x:v>0</x:v>
      </x:c>
      <x:c r="Q105" s="293" t="n">
        <x:f>IF(N105="",0,XLOOKUP(N105,'平台参数'!$A$5:$A$9,'平台参数'!$G$5:$G$9,0))</x:f>
        <x:v>0</x:v>
      </x:c>
      <x:c r="R105" s="282" t="n">
        <x:f>IF(N105="",0,XLOOKUP(N105,'平台参数'!$A$5:$A$9,'平台参数'!$I$5:$I$9,0))</x:f>
        <x:v>0</x:v>
      </x:c>
      <x:c r="S105" s="282" t="n">
        <x:f>IF(O105=0,0,O105*(1-P105-Q105)-R105)</x:f>
        <x:v>0</x:v>
      </x:c>
      <x:c r="T105" s="282" t="n">
        <x:f>S105-K105</x:f>
        <x:v>0</x:v>
      </x:c>
      <x:c r="U105" s="293" t="n">
        <x:f>IFERROR(T105/K105,0)</x:f>
        <x:v>0</x:v>
      </x:c>
      <x:c r="V105" s="282" t="n">
        <x:f>IF(F105="",0,IF(M105="",TODAY()-F105,M105-F105))</x:f>
        <x:v>0</x:v>
      </x:c>
      <x:c r="W105" s="223"/>
      <x:c r="X105" s="223"/>
      <x:c r="Y105" s="223"/>
      <x:c r="Z105" s="223"/>
    </x:row>
    <x:row r="106">
      <x:c r="A106" s="223"/>
      <x:c r="B106" s="223"/>
      <x:c r="C106" s="223"/>
      <x:c r="D106" s="223"/>
      <x:c r="E106" s="223"/>
      <x:c r="F106" s="292"/>
      <x:c r="G106" s="223"/>
      <x:c r="H106" s="282"/>
      <x:c r="I106" s="293" t="n">
        <x:f>IF(G106="",0,XLOOKUP(G106,'平台参数'!$A$5:$A$9,'平台参数'!$E$5:$E$9,0)+XLOOKUP(G106,'平台参数'!$A$5:$A$9,'平台参数'!$G$5:$G$9,0))</x:f>
        <x:v>0</x:v>
      </x:c>
      <x:c r="J106" s="282" t="n">
        <x:f>IF(G106="",0,XLOOKUP(G106,'平台参数'!$A$5:$A$9,'平台参数'!$H$5:$H$9,0))</x:f>
        <x:v>0</x:v>
      </x:c>
      <x:c r="K106" s="282" t="n">
        <x:f>IF(H106=0,0,H106*(1+I106)+J106)</x:f>
        <x:v>0</x:v>
      </x:c>
      <x:c r="L106" s="292"/>
      <x:c r="M106" s="292"/>
      <x:c r="N106" s="223"/>
      <x:c r="O106" s="282"/>
      <x:c r="P106" s="293" t="n">
        <x:f>IF(N106="",0,XLOOKUP(N106,'平台参数'!$A$5:$A$9,'平台参数'!$F$5:$F$9,0))</x:f>
        <x:v>0</x:v>
      </x:c>
      <x:c r="Q106" s="293" t="n">
        <x:f>IF(N106="",0,XLOOKUP(N106,'平台参数'!$A$5:$A$9,'平台参数'!$G$5:$G$9,0))</x:f>
        <x:v>0</x:v>
      </x:c>
      <x:c r="R106" s="282" t="n">
        <x:f>IF(N106="",0,XLOOKUP(N106,'平台参数'!$A$5:$A$9,'平台参数'!$I$5:$I$9,0))</x:f>
        <x:v>0</x:v>
      </x:c>
      <x:c r="S106" s="282" t="n">
        <x:f>IF(O106=0,0,O106*(1-P106-Q106)-R106)</x:f>
        <x:v>0</x:v>
      </x:c>
      <x:c r="T106" s="282" t="n">
        <x:f>S106-K106</x:f>
        <x:v>0</x:v>
      </x:c>
      <x:c r="U106" s="293" t="n">
        <x:f>IFERROR(T106/K106,0)</x:f>
        <x:v>0</x:v>
      </x:c>
      <x:c r="V106" s="282" t="n">
        <x:f>IF(F106="",0,IF(M106="",TODAY()-F106,M106-F106))</x:f>
        <x:v>0</x:v>
      </x:c>
      <x:c r="W106" s="223"/>
      <x:c r="X106" s="223"/>
      <x:c r="Y106" s="223"/>
      <x:c r="Z106" s="223"/>
    </x:row>
    <x:row r="107">
      <x:c r="A107" s="223"/>
      <x:c r="B107" s="223"/>
      <x:c r="C107" s="223"/>
      <x:c r="D107" s="223"/>
      <x:c r="E107" s="223"/>
      <x:c r="F107" s="292"/>
      <x:c r="G107" s="223"/>
      <x:c r="H107" s="282"/>
      <x:c r="I107" s="293" t="n">
        <x:f>IF(G107="",0,XLOOKUP(G107,'平台参数'!$A$5:$A$9,'平台参数'!$E$5:$E$9,0)+XLOOKUP(G107,'平台参数'!$A$5:$A$9,'平台参数'!$G$5:$G$9,0))</x:f>
        <x:v>0</x:v>
      </x:c>
      <x:c r="J107" s="282" t="n">
        <x:f>IF(G107="",0,XLOOKUP(G107,'平台参数'!$A$5:$A$9,'平台参数'!$H$5:$H$9,0))</x:f>
        <x:v>0</x:v>
      </x:c>
      <x:c r="K107" s="282" t="n">
        <x:f>IF(H107=0,0,H107*(1+I107)+J107)</x:f>
        <x:v>0</x:v>
      </x:c>
      <x:c r="L107" s="292"/>
      <x:c r="M107" s="292"/>
      <x:c r="N107" s="223"/>
      <x:c r="O107" s="282"/>
      <x:c r="P107" s="293" t="n">
        <x:f>IF(N107="",0,XLOOKUP(N107,'平台参数'!$A$5:$A$9,'平台参数'!$F$5:$F$9,0))</x:f>
        <x:v>0</x:v>
      </x:c>
      <x:c r="Q107" s="293" t="n">
        <x:f>IF(N107="",0,XLOOKUP(N107,'平台参数'!$A$5:$A$9,'平台参数'!$G$5:$G$9,0))</x:f>
        <x:v>0</x:v>
      </x:c>
      <x:c r="R107" s="282" t="n">
        <x:f>IF(N107="",0,XLOOKUP(N107,'平台参数'!$A$5:$A$9,'平台参数'!$I$5:$I$9,0))</x:f>
        <x:v>0</x:v>
      </x:c>
      <x:c r="S107" s="282" t="n">
        <x:f>IF(O107=0,0,O107*(1-P107-Q107)-R107)</x:f>
        <x:v>0</x:v>
      </x:c>
      <x:c r="T107" s="282" t="n">
        <x:f>S107-K107</x:f>
        <x:v>0</x:v>
      </x:c>
      <x:c r="U107" s="293" t="n">
        <x:f>IFERROR(T107/K107,0)</x:f>
        <x:v>0</x:v>
      </x:c>
      <x:c r="V107" s="282" t="n">
        <x:f>IF(F107="",0,IF(M107="",TODAY()-F107,M107-F107))</x:f>
        <x:v>0</x:v>
      </x:c>
      <x:c r="W107" s="223"/>
      <x:c r="X107" s="223"/>
      <x:c r="Y107" s="223"/>
      <x:c r="Z107" s="223"/>
    </x:row>
    <x:row r="108">
      <x:c r="A108" s="223"/>
      <x:c r="B108" s="223"/>
      <x:c r="C108" s="223"/>
      <x:c r="D108" s="223"/>
      <x:c r="E108" s="223"/>
      <x:c r="F108" s="292"/>
      <x:c r="G108" s="223"/>
      <x:c r="H108" s="282"/>
      <x:c r="I108" s="293" t="n">
        <x:f>IF(G108="",0,XLOOKUP(G108,'平台参数'!$A$5:$A$9,'平台参数'!$E$5:$E$9,0)+XLOOKUP(G108,'平台参数'!$A$5:$A$9,'平台参数'!$G$5:$G$9,0))</x:f>
        <x:v>0</x:v>
      </x:c>
      <x:c r="J108" s="282" t="n">
        <x:f>IF(G108="",0,XLOOKUP(G108,'平台参数'!$A$5:$A$9,'平台参数'!$H$5:$H$9,0))</x:f>
        <x:v>0</x:v>
      </x:c>
      <x:c r="K108" s="282" t="n">
        <x:f>IF(H108=0,0,H108*(1+I108)+J108)</x:f>
        <x:v>0</x:v>
      </x:c>
      <x:c r="L108" s="292"/>
      <x:c r="M108" s="292"/>
      <x:c r="N108" s="223"/>
      <x:c r="O108" s="282"/>
      <x:c r="P108" s="293" t="n">
        <x:f>IF(N108="",0,XLOOKUP(N108,'平台参数'!$A$5:$A$9,'平台参数'!$F$5:$F$9,0))</x:f>
        <x:v>0</x:v>
      </x:c>
      <x:c r="Q108" s="293" t="n">
        <x:f>IF(N108="",0,XLOOKUP(N108,'平台参数'!$A$5:$A$9,'平台参数'!$G$5:$G$9,0))</x:f>
        <x:v>0</x:v>
      </x:c>
      <x:c r="R108" s="282" t="n">
        <x:f>IF(N108="",0,XLOOKUP(N108,'平台参数'!$A$5:$A$9,'平台参数'!$I$5:$I$9,0))</x:f>
        <x:v>0</x:v>
      </x:c>
      <x:c r="S108" s="282" t="n">
        <x:f>IF(O108=0,0,O108*(1-P108-Q108)-R108)</x:f>
        <x:v>0</x:v>
      </x:c>
      <x:c r="T108" s="282" t="n">
        <x:f>S108-K108</x:f>
        <x:v>0</x:v>
      </x:c>
      <x:c r="U108" s="293" t="n">
        <x:f>IFERROR(T108/K108,0)</x:f>
        <x:v>0</x:v>
      </x:c>
      <x:c r="V108" s="282" t="n">
        <x:f>IF(F108="",0,IF(M108="",TODAY()-F108,M108-F108))</x:f>
        <x:v>0</x:v>
      </x:c>
      <x:c r="W108" s="223"/>
      <x:c r="X108" s="223"/>
      <x:c r="Y108" s="223"/>
      <x:c r="Z108" s="223"/>
    </x:row>
    <x:row r="109">
      <x:c r="A109" s="223"/>
      <x:c r="B109" s="223"/>
      <x:c r="C109" s="223"/>
      <x:c r="D109" s="223"/>
      <x:c r="E109" s="223"/>
      <x:c r="F109" s="292"/>
      <x:c r="G109" s="223"/>
      <x:c r="H109" s="282"/>
      <x:c r="I109" s="293" t="n">
        <x:f>IF(G109="",0,XLOOKUP(G109,'平台参数'!$A$5:$A$9,'平台参数'!$E$5:$E$9,0)+XLOOKUP(G109,'平台参数'!$A$5:$A$9,'平台参数'!$G$5:$G$9,0))</x:f>
        <x:v>0</x:v>
      </x:c>
      <x:c r="J109" s="282" t="n">
        <x:f>IF(G109="",0,XLOOKUP(G109,'平台参数'!$A$5:$A$9,'平台参数'!$H$5:$H$9,0))</x:f>
        <x:v>0</x:v>
      </x:c>
      <x:c r="K109" s="282" t="n">
        <x:f>IF(H109=0,0,H109*(1+I109)+J109)</x:f>
        <x:v>0</x:v>
      </x:c>
      <x:c r="L109" s="292"/>
      <x:c r="M109" s="292"/>
      <x:c r="N109" s="223"/>
      <x:c r="O109" s="282"/>
      <x:c r="P109" s="293" t="n">
        <x:f>IF(N109="",0,XLOOKUP(N109,'平台参数'!$A$5:$A$9,'平台参数'!$F$5:$F$9,0))</x:f>
        <x:v>0</x:v>
      </x:c>
      <x:c r="Q109" s="293" t="n">
        <x:f>IF(N109="",0,XLOOKUP(N109,'平台参数'!$A$5:$A$9,'平台参数'!$G$5:$G$9,0))</x:f>
        <x:v>0</x:v>
      </x:c>
      <x:c r="R109" s="282" t="n">
        <x:f>IF(N109="",0,XLOOKUP(N109,'平台参数'!$A$5:$A$9,'平台参数'!$I$5:$I$9,0))</x:f>
        <x:v>0</x:v>
      </x:c>
      <x:c r="S109" s="282" t="n">
        <x:f>IF(O109=0,0,O109*(1-P109-Q109)-R109)</x:f>
        <x:v>0</x:v>
      </x:c>
      <x:c r="T109" s="282" t="n">
        <x:f>S109-K109</x:f>
        <x:v>0</x:v>
      </x:c>
      <x:c r="U109" s="293" t="n">
        <x:f>IFERROR(T109/K109,0)</x:f>
        <x:v>0</x:v>
      </x:c>
      <x:c r="V109" s="282" t="n">
        <x:f>IF(F109="",0,IF(M109="",TODAY()-F109,M109-F109))</x:f>
        <x:v>0</x:v>
      </x:c>
      <x:c r="W109" s="223"/>
      <x:c r="X109" s="223"/>
      <x:c r="Y109" s="223"/>
      <x:c r="Z109" s="223"/>
    </x:row>
    <x:row r="110">
      <x:c r="A110" s="223"/>
      <x:c r="B110" s="223"/>
      <x:c r="C110" s="223"/>
      <x:c r="D110" s="223"/>
      <x:c r="E110" s="223"/>
      <x:c r="F110" s="292"/>
      <x:c r="G110" s="223"/>
      <x:c r="H110" s="282"/>
      <x:c r="I110" s="293" t="n">
        <x:f>IF(G110="",0,XLOOKUP(G110,'平台参数'!$A$5:$A$9,'平台参数'!$E$5:$E$9,0)+XLOOKUP(G110,'平台参数'!$A$5:$A$9,'平台参数'!$G$5:$G$9,0))</x:f>
        <x:v>0</x:v>
      </x:c>
      <x:c r="J110" s="282" t="n">
        <x:f>IF(G110="",0,XLOOKUP(G110,'平台参数'!$A$5:$A$9,'平台参数'!$H$5:$H$9,0))</x:f>
        <x:v>0</x:v>
      </x:c>
      <x:c r="K110" s="282" t="n">
        <x:f>IF(H110=0,0,H110*(1+I110)+J110)</x:f>
        <x:v>0</x:v>
      </x:c>
      <x:c r="L110" s="292"/>
      <x:c r="M110" s="292"/>
      <x:c r="N110" s="223"/>
      <x:c r="O110" s="282"/>
      <x:c r="P110" s="293" t="n">
        <x:f>IF(N110="",0,XLOOKUP(N110,'平台参数'!$A$5:$A$9,'平台参数'!$F$5:$F$9,0))</x:f>
        <x:v>0</x:v>
      </x:c>
      <x:c r="Q110" s="293" t="n">
        <x:f>IF(N110="",0,XLOOKUP(N110,'平台参数'!$A$5:$A$9,'平台参数'!$G$5:$G$9,0))</x:f>
        <x:v>0</x:v>
      </x:c>
      <x:c r="R110" s="282" t="n">
        <x:f>IF(N110="",0,XLOOKUP(N110,'平台参数'!$A$5:$A$9,'平台参数'!$I$5:$I$9,0))</x:f>
        <x:v>0</x:v>
      </x:c>
      <x:c r="S110" s="282" t="n">
        <x:f>IF(O110=0,0,O110*(1-P110-Q110)-R110)</x:f>
        <x:v>0</x:v>
      </x:c>
      <x:c r="T110" s="282" t="n">
        <x:f>S110-K110</x:f>
        <x:v>0</x:v>
      </x:c>
      <x:c r="U110" s="293" t="n">
        <x:f>IFERROR(T110/K110,0)</x:f>
        <x:v>0</x:v>
      </x:c>
      <x:c r="V110" s="282" t="n">
        <x:f>IF(F110="",0,IF(M110="",TODAY()-F110,M110-F110))</x:f>
        <x:v>0</x:v>
      </x:c>
      <x:c r="W110" s="223"/>
      <x:c r="X110" s="223"/>
      <x:c r="Y110" s="223"/>
      <x:c r="Z110" s="223"/>
    </x:row>
    <x:row r="111">
      <x:c r="A111" s="223"/>
      <x:c r="B111" s="223"/>
      <x:c r="C111" s="223"/>
      <x:c r="D111" s="223"/>
      <x:c r="E111" s="223"/>
      <x:c r="F111" s="292"/>
      <x:c r="G111" s="223"/>
      <x:c r="H111" s="282"/>
      <x:c r="I111" s="293" t="n">
        <x:f>IF(G111="",0,XLOOKUP(G111,'平台参数'!$A$5:$A$9,'平台参数'!$E$5:$E$9,0)+XLOOKUP(G111,'平台参数'!$A$5:$A$9,'平台参数'!$G$5:$G$9,0))</x:f>
        <x:v>0</x:v>
      </x:c>
      <x:c r="J111" s="282" t="n">
        <x:f>IF(G111="",0,XLOOKUP(G111,'平台参数'!$A$5:$A$9,'平台参数'!$H$5:$H$9,0))</x:f>
        <x:v>0</x:v>
      </x:c>
      <x:c r="K111" s="282" t="n">
        <x:f>IF(H111=0,0,H111*(1+I111)+J111)</x:f>
        <x:v>0</x:v>
      </x:c>
      <x:c r="L111" s="292"/>
      <x:c r="M111" s="292"/>
      <x:c r="N111" s="223"/>
      <x:c r="O111" s="282"/>
      <x:c r="P111" s="293" t="n">
        <x:f>IF(N111="",0,XLOOKUP(N111,'平台参数'!$A$5:$A$9,'平台参数'!$F$5:$F$9,0))</x:f>
        <x:v>0</x:v>
      </x:c>
      <x:c r="Q111" s="293" t="n">
        <x:f>IF(N111="",0,XLOOKUP(N111,'平台参数'!$A$5:$A$9,'平台参数'!$G$5:$G$9,0))</x:f>
        <x:v>0</x:v>
      </x:c>
      <x:c r="R111" s="282" t="n">
        <x:f>IF(N111="",0,XLOOKUP(N111,'平台参数'!$A$5:$A$9,'平台参数'!$I$5:$I$9,0))</x:f>
        <x:v>0</x:v>
      </x:c>
      <x:c r="S111" s="282" t="n">
        <x:f>IF(O111=0,0,O111*(1-P111-Q111)-R111)</x:f>
        <x:v>0</x:v>
      </x:c>
      <x:c r="T111" s="282" t="n">
        <x:f>S111-K111</x:f>
        <x:v>0</x:v>
      </x:c>
      <x:c r="U111" s="293" t="n">
        <x:f>IFERROR(T111/K111,0)</x:f>
        <x:v>0</x:v>
      </x:c>
      <x:c r="V111" s="282" t="n">
        <x:f>IF(F111="",0,IF(M111="",TODAY()-F111,M111-F111))</x:f>
        <x:v>0</x:v>
      </x:c>
      <x:c r="W111" s="223"/>
      <x:c r="X111" s="223"/>
      <x:c r="Y111" s="223"/>
      <x:c r="Z111" s="223"/>
    </x:row>
    <x:row r="112">
      <x:c r="A112" s="223"/>
      <x:c r="B112" s="223"/>
      <x:c r="C112" s="223"/>
      <x:c r="D112" s="223"/>
      <x:c r="E112" s="223"/>
      <x:c r="F112" s="292"/>
      <x:c r="G112" s="223"/>
      <x:c r="H112" s="282"/>
      <x:c r="I112" s="293" t="n">
        <x:f>IF(G112="",0,XLOOKUP(G112,'平台参数'!$A$5:$A$9,'平台参数'!$E$5:$E$9,0)+XLOOKUP(G112,'平台参数'!$A$5:$A$9,'平台参数'!$G$5:$G$9,0))</x:f>
        <x:v>0</x:v>
      </x:c>
      <x:c r="J112" s="282" t="n">
        <x:f>IF(G112="",0,XLOOKUP(G112,'平台参数'!$A$5:$A$9,'平台参数'!$H$5:$H$9,0))</x:f>
        <x:v>0</x:v>
      </x:c>
      <x:c r="K112" s="282" t="n">
        <x:f>IF(H112=0,0,H112*(1+I112)+J112)</x:f>
        <x:v>0</x:v>
      </x:c>
      <x:c r="L112" s="292"/>
      <x:c r="M112" s="292"/>
      <x:c r="N112" s="223"/>
      <x:c r="O112" s="282"/>
      <x:c r="P112" s="293" t="n">
        <x:f>IF(N112="",0,XLOOKUP(N112,'平台参数'!$A$5:$A$9,'平台参数'!$F$5:$F$9,0))</x:f>
        <x:v>0</x:v>
      </x:c>
      <x:c r="Q112" s="293" t="n">
        <x:f>IF(N112="",0,XLOOKUP(N112,'平台参数'!$A$5:$A$9,'平台参数'!$G$5:$G$9,0))</x:f>
        <x:v>0</x:v>
      </x:c>
      <x:c r="R112" s="282" t="n">
        <x:f>IF(N112="",0,XLOOKUP(N112,'平台参数'!$A$5:$A$9,'平台参数'!$I$5:$I$9,0))</x:f>
        <x:v>0</x:v>
      </x:c>
      <x:c r="S112" s="282" t="n">
        <x:f>IF(O112=0,0,O112*(1-P112-Q112)-R112)</x:f>
        <x:v>0</x:v>
      </x:c>
      <x:c r="T112" s="282" t="n">
        <x:f>S112-K112</x:f>
        <x:v>0</x:v>
      </x:c>
      <x:c r="U112" s="293" t="n">
        <x:f>IFERROR(T112/K112,0)</x:f>
        <x:v>0</x:v>
      </x:c>
      <x:c r="V112" s="282" t="n">
        <x:f>IF(F112="",0,IF(M112="",TODAY()-F112,M112-F112))</x:f>
        <x:v>0</x:v>
      </x:c>
      <x:c r="W112" s="223"/>
      <x:c r="X112" s="223"/>
      <x:c r="Y112" s="223"/>
      <x:c r="Z112" s="223"/>
    </x:row>
    <x:row r="113">
      <x:c r="A113" s="223"/>
      <x:c r="B113" s="223"/>
      <x:c r="C113" s="223"/>
      <x:c r="D113" s="223"/>
      <x:c r="E113" s="223"/>
      <x:c r="F113" s="292"/>
      <x:c r="G113" s="223"/>
      <x:c r="H113" s="282"/>
      <x:c r="I113" s="293" t="n">
        <x:f>IF(G113="",0,XLOOKUP(G113,'平台参数'!$A$5:$A$9,'平台参数'!$E$5:$E$9,0)+XLOOKUP(G113,'平台参数'!$A$5:$A$9,'平台参数'!$G$5:$G$9,0))</x:f>
        <x:v>0</x:v>
      </x:c>
      <x:c r="J113" s="282" t="n">
        <x:f>IF(G113="",0,XLOOKUP(G113,'平台参数'!$A$5:$A$9,'平台参数'!$H$5:$H$9,0))</x:f>
        <x:v>0</x:v>
      </x:c>
      <x:c r="K113" s="282" t="n">
        <x:f>IF(H113=0,0,H113*(1+I113)+J113)</x:f>
        <x:v>0</x:v>
      </x:c>
      <x:c r="L113" s="292"/>
      <x:c r="M113" s="292"/>
      <x:c r="N113" s="223"/>
      <x:c r="O113" s="282"/>
      <x:c r="P113" s="293" t="n">
        <x:f>IF(N113="",0,XLOOKUP(N113,'平台参数'!$A$5:$A$9,'平台参数'!$F$5:$F$9,0))</x:f>
        <x:v>0</x:v>
      </x:c>
      <x:c r="Q113" s="293" t="n">
        <x:f>IF(N113="",0,XLOOKUP(N113,'平台参数'!$A$5:$A$9,'平台参数'!$G$5:$G$9,0))</x:f>
        <x:v>0</x:v>
      </x:c>
      <x:c r="R113" s="282" t="n">
        <x:f>IF(N113="",0,XLOOKUP(N113,'平台参数'!$A$5:$A$9,'平台参数'!$I$5:$I$9,0))</x:f>
        <x:v>0</x:v>
      </x:c>
      <x:c r="S113" s="282" t="n">
        <x:f>IF(O113=0,0,O113*(1-P113-Q113)-R113)</x:f>
        <x:v>0</x:v>
      </x:c>
      <x:c r="T113" s="282" t="n">
        <x:f>S113-K113</x:f>
        <x:v>0</x:v>
      </x:c>
      <x:c r="U113" s="293" t="n">
        <x:f>IFERROR(T113/K113,0)</x:f>
        <x:v>0</x:v>
      </x:c>
      <x:c r="V113" s="282" t="n">
        <x:f>IF(F113="",0,IF(M113="",TODAY()-F113,M113-F113))</x:f>
        <x:v>0</x:v>
      </x:c>
      <x:c r="W113" s="223"/>
      <x:c r="X113" s="223"/>
      <x:c r="Y113" s="223"/>
      <x:c r="Z113" s="223"/>
    </x:row>
    <x:row r="114">
      <x:c r="A114" s="223"/>
      <x:c r="B114" s="223"/>
      <x:c r="C114" s="223"/>
      <x:c r="D114" s="223"/>
      <x:c r="E114" s="223"/>
      <x:c r="F114" s="292"/>
      <x:c r="G114" s="223"/>
      <x:c r="H114" s="282"/>
      <x:c r="I114" s="293" t="n">
        <x:f>IF(G114="",0,XLOOKUP(G114,'平台参数'!$A$5:$A$9,'平台参数'!$E$5:$E$9,0)+XLOOKUP(G114,'平台参数'!$A$5:$A$9,'平台参数'!$G$5:$G$9,0))</x:f>
        <x:v>0</x:v>
      </x:c>
      <x:c r="J114" s="282" t="n">
        <x:f>IF(G114="",0,XLOOKUP(G114,'平台参数'!$A$5:$A$9,'平台参数'!$H$5:$H$9,0))</x:f>
        <x:v>0</x:v>
      </x:c>
      <x:c r="K114" s="282" t="n">
        <x:f>IF(H114=0,0,H114*(1+I114)+J114)</x:f>
        <x:v>0</x:v>
      </x:c>
      <x:c r="L114" s="292"/>
      <x:c r="M114" s="292"/>
      <x:c r="N114" s="223"/>
      <x:c r="O114" s="282"/>
      <x:c r="P114" s="293" t="n">
        <x:f>IF(N114="",0,XLOOKUP(N114,'平台参数'!$A$5:$A$9,'平台参数'!$F$5:$F$9,0))</x:f>
        <x:v>0</x:v>
      </x:c>
      <x:c r="Q114" s="293" t="n">
        <x:f>IF(N114="",0,XLOOKUP(N114,'平台参数'!$A$5:$A$9,'平台参数'!$G$5:$G$9,0))</x:f>
        <x:v>0</x:v>
      </x:c>
      <x:c r="R114" s="282" t="n">
        <x:f>IF(N114="",0,XLOOKUP(N114,'平台参数'!$A$5:$A$9,'平台参数'!$I$5:$I$9,0))</x:f>
        <x:v>0</x:v>
      </x:c>
      <x:c r="S114" s="282" t="n">
        <x:f>IF(O114=0,0,O114*(1-P114-Q114)-R114)</x:f>
        <x:v>0</x:v>
      </x:c>
      <x:c r="T114" s="282" t="n">
        <x:f>S114-K114</x:f>
        <x:v>0</x:v>
      </x:c>
      <x:c r="U114" s="293" t="n">
        <x:f>IFERROR(T114/K114,0)</x:f>
        <x:v>0</x:v>
      </x:c>
      <x:c r="V114" s="282" t="n">
        <x:f>IF(F114="",0,IF(M114="",TODAY()-F114,M114-F114))</x:f>
        <x:v>0</x:v>
      </x:c>
      <x:c r="W114" s="223"/>
      <x:c r="X114" s="223"/>
      <x:c r="Y114" s="223"/>
      <x:c r="Z114" s="223"/>
    </x:row>
    <x:row r="115">
      <x:c r="A115" s="223"/>
      <x:c r="B115" s="223"/>
      <x:c r="C115" s="223"/>
      <x:c r="D115" s="223"/>
      <x:c r="E115" s="223"/>
      <x:c r="F115" s="292"/>
      <x:c r="G115" s="223"/>
      <x:c r="H115" s="282"/>
      <x:c r="I115" s="293" t="n">
        <x:f>IF(G115="",0,XLOOKUP(G115,'平台参数'!$A$5:$A$9,'平台参数'!$E$5:$E$9,0)+XLOOKUP(G115,'平台参数'!$A$5:$A$9,'平台参数'!$G$5:$G$9,0))</x:f>
        <x:v>0</x:v>
      </x:c>
      <x:c r="J115" s="282" t="n">
        <x:f>IF(G115="",0,XLOOKUP(G115,'平台参数'!$A$5:$A$9,'平台参数'!$H$5:$H$9,0))</x:f>
        <x:v>0</x:v>
      </x:c>
      <x:c r="K115" s="282" t="n">
        <x:f>IF(H115=0,0,H115*(1+I115)+J115)</x:f>
        <x:v>0</x:v>
      </x:c>
      <x:c r="L115" s="292"/>
      <x:c r="M115" s="292"/>
      <x:c r="N115" s="223"/>
      <x:c r="O115" s="282"/>
      <x:c r="P115" s="293" t="n">
        <x:f>IF(N115="",0,XLOOKUP(N115,'平台参数'!$A$5:$A$9,'平台参数'!$F$5:$F$9,0))</x:f>
        <x:v>0</x:v>
      </x:c>
      <x:c r="Q115" s="293" t="n">
        <x:f>IF(N115="",0,XLOOKUP(N115,'平台参数'!$A$5:$A$9,'平台参数'!$G$5:$G$9,0))</x:f>
        <x:v>0</x:v>
      </x:c>
      <x:c r="R115" s="282" t="n">
        <x:f>IF(N115="",0,XLOOKUP(N115,'平台参数'!$A$5:$A$9,'平台参数'!$I$5:$I$9,0))</x:f>
        <x:v>0</x:v>
      </x:c>
      <x:c r="S115" s="282" t="n">
        <x:f>IF(O115=0,0,O115*(1-P115-Q115)-R115)</x:f>
        <x:v>0</x:v>
      </x:c>
      <x:c r="T115" s="282" t="n">
        <x:f>S115-K115</x:f>
        <x:v>0</x:v>
      </x:c>
      <x:c r="U115" s="293" t="n">
        <x:f>IFERROR(T115/K115,0)</x:f>
        <x:v>0</x:v>
      </x:c>
      <x:c r="V115" s="282" t="n">
        <x:f>IF(F115="",0,IF(M115="",TODAY()-F115,M115-F115))</x:f>
        <x:v>0</x:v>
      </x:c>
      <x:c r="W115" s="223"/>
      <x:c r="X115" s="223"/>
      <x:c r="Y115" s="223"/>
      <x:c r="Z115" s="223"/>
    </x:row>
    <x:row r="116">
      <x:c r="A116" s="223"/>
      <x:c r="B116" s="223"/>
      <x:c r="C116" s="223"/>
      <x:c r="D116" s="223"/>
      <x:c r="E116" s="223"/>
      <x:c r="F116" s="292"/>
      <x:c r="G116" s="223"/>
      <x:c r="H116" s="282"/>
      <x:c r="I116" s="293" t="n">
        <x:f>IF(G116="",0,XLOOKUP(G116,'平台参数'!$A$5:$A$9,'平台参数'!$E$5:$E$9,0)+XLOOKUP(G116,'平台参数'!$A$5:$A$9,'平台参数'!$G$5:$G$9,0))</x:f>
        <x:v>0</x:v>
      </x:c>
      <x:c r="J116" s="282" t="n">
        <x:f>IF(G116="",0,XLOOKUP(G116,'平台参数'!$A$5:$A$9,'平台参数'!$H$5:$H$9,0))</x:f>
        <x:v>0</x:v>
      </x:c>
      <x:c r="K116" s="282" t="n">
        <x:f>IF(H116=0,0,H116*(1+I116)+J116)</x:f>
        <x:v>0</x:v>
      </x:c>
      <x:c r="L116" s="292"/>
      <x:c r="M116" s="292"/>
      <x:c r="N116" s="223"/>
      <x:c r="O116" s="282"/>
      <x:c r="P116" s="293" t="n">
        <x:f>IF(N116="",0,XLOOKUP(N116,'平台参数'!$A$5:$A$9,'平台参数'!$F$5:$F$9,0))</x:f>
        <x:v>0</x:v>
      </x:c>
      <x:c r="Q116" s="293" t="n">
        <x:f>IF(N116="",0,XLOOKUP(N116,'平台参数'!$A$5:$A$9,'平台参数'!$G$5:$G$9,0))</x:f>
        <x:v>0</x:v>
      </x:c>
      <x:c r="R116" s="282" t="n">
        <x:f>IF(N116="",0,XLOOKUP(N116,'平台参数'!$A$5:$A$9,'平台参数'!$I$5:$I$9,0))</x:f>
        <x:v>0</x:v>
      </x:c>
      <x:c r="S116" s="282" t="n">
        <x:f>IF(O116=0,0,O116*(1-P116-Q116)-R116)</x:f>
        <x:v>0</x:v>
      </x:c>
      <x:c r="T116" s="282" t="n">
        <x:f>S116-K116</x:f>
        <x:v>0</x:v>
      </x:c>
      <x:c r="U116" s="293" t="n">
        <x:f>IFERROR(T116/K116,0)</x:f>
        <x:v>0</x:v>
      </x:c>
      <x:c r="V116" s="282" t="n">
        <x:f>IF(F116="",0,IF(M116="",TODAY()-F116,M116-F116))</x:f>
        <x:v>0</x:v>
      </x:c>
      <x:c r="W116" s="223"/>
      <x:c r="X116" s="223"/>
      <x:c r="Y116" s="223"/>
      <x:c r="Z116" s="223"/>
    </x:row>
    <x:row r="117">
      <x:c r="A117" s="223"/>
      <x:c r="B117" s="223"/>
      <x:c r="C117" s="223"/>
      <x:c r="D117" s="223"/>
      <x:c r="E117" s="223"/>
      <x:c r="F117" s="292"/>
      <x:c r="G117" s="223"/>
      <x:c r="H117" s="282"/>
      <x:c r="I117" s="293" t="n">
        <x:f>IF(G117="",0,XLOOKUP(G117,'平台参数'!$A$5:$A$9,'平台参数'!$E$5:$E$9,0)+XLOOKUP(G117,'平台参数'!$A$5:$A$9,'平台参数'!$G$5:$G$9,0))</x:f>
        <x:v>0</x:v>
      </x:c>
      <x:c r="J117" s="282" t="n">
        <x:f>IF(G117="",0,XLOOKUP(G117,'平台参数'!$A$5:$A$9,'平台参数'!$H$5:$H$9,0))</x:f>
        <x:v>0</x:v>
      </x:c>
      <x:c r="K117" s="282" t="n">
        <x:f>IF(H117=0,0,H117*(1+I117)+J117)</x:f>
        <x:v>0</x:v>
      </x:c>
      <x:c r="L117" s="292"/>
      <x:c r="M117" s="292"/>
      <x:c r="N117" s="223"/>
      <x:c r="O117" s="282"/>
      <x:c r="P117" s="293" t="n">
        <x:f>IF(N117="",0,XLOOKUP(N117,'平台参数'!$A$5:$A$9,'平台参数'!$F$5:$F$9,0))</x:f>
        <x:v>0</x:v>
      </x:c>
      <x:c r="Q117" s="293" t="n">
        <x:f>IF(N117="",0,XLOOKUP(N117,'平台参数'!$A$5:$A$9,'平台参数'!$G$5:$G$9,0))</x:f>
        <x:v>0</x:v>
      </x:c>
      <x:c r="R117" s="282" t="n">
        <x:f>IF(N117="",0,XLOOKUP(N117,'平台参数'!$A$5:$A$9,'平台参数'!$I$5:$I$9,0))</x:f>
        <x:v>0</x:v>
      </x:c>
      <x:c r="S117" s="282" t="n">
        <x:f>IF(O117=0,0,O117*(1-P117-Q117)-R117)</x:f>
        <x:v>0</x:v>
      </x:c>
      <x:c r="T117" s="282" t="n">
        <x:f>S117-K117</x:f>
        <x:v>0</x:v>
      </x:c>
      <x:c r="U117" s="293" t="n">
        <x:f>IFERROR(T117/K117,0)</x:f>
        <x:v>0</x:v>
      </x:c>
      <x:c r="V117" s="282" t="n">
        <x:f>IF(F117="",0,IF(M117="",TODAY()-F117,M117-F117))</x:f>
        <x:v>0</x:v>
      </x:c>
      <x:c r="W117" s="223"/>
      <x:c r="X117" s="223"/>
      <x:c r="Y117" s="223"/>
      <x:c r="Z117" s="223"/>
    </x:row>
    <x:row r="118">
      <x:c r="A118" s="223"/>
      <x:c r="B118" s="223"/>
      <x:c r="C118" s="223"/>
      <x:c r="D118" s="223"/>
      <x:c r="E118" s="223"/>
      <x:c r="F118" s="292"/>
      <x:c r="G118" s="223"/>
      <x:c r="H118" s="282"/>
      <x:c r="I118" s="293" t="n">
        <x:f>IF(G118="",0,XLOOKUP(G118,'平台参数'!$A$5:$A$9,'平台参数'!$E$5:$E$9,0)+XLOOKUP(G118,'平台参数'!$A$5:$A$9,'平台参数'!$G$5:$G$9,0))</x:f>
        <x:v>0</x:v>
      </x:c>
      <x:c r="J118" s="282" t="n">
        <x:f>IF(G118="",0,XLOOKUP(G118,'平台参数'!$A$5:$A$9,'平台参数'!$H$5:$H$9,0))</x:f>
        <x:v>0</x:v>
      </x:c>
      <x:c r="K118" s="282" t="n">
        <x:f>IF(H118=0,0,H118*(1+I118)+J118)</x:f>
        <x:v>0</x:v>
      </x:c>
      <x:c r="L118" s="292"/>
      <x:c r="M118" s="292"/>
      <x:c r="N118" s="223"/>
      <x:c r="O118" s="282"/>
      <x:c r="P118" s="293" t="n">
        <x:f>IF(N118="",0,XLOOKUP(N118,'平台参数'!$A$5:$A$9,'平台参数'!$F$5:$F$9,0))</x:f>
        <x:v>0</x:v>
      </x:c>
      <x:c r="Q118" s="293" t="n">
        <x:f>IF(N118="",0,XLOOKUP(N118,'平台参数'!$A$5:$A$9,'平台参数'!$G$5:$G$9,0))</x:f>
        <x:v>0</x:v>
      </x:c>
      <x:c r="R118" s="282" t="n">
        <x:f>IF(N118="",0,XLOOKUP(N118,'平台参数'!$A$5:$A$9,'平台参数'!$I$5:$I$9,0))</x:f>
        <x:v>0</x:v>
      </x:c>
      <x:c r="S118" s="282" t="n">
        <x:f>IF(O118=0,0,O118*(1-P118-Q118)-R118)</x:f>
        <x:v>0</x:v>
      </x:c>
      <x:c r="T118" s="282" t="n">
        <x:f>S118-K118</x:f>
        <x:v>0</x:v>
      </x:c>
      <x:c r="U118" s="293" t="n">
        <x:f>IFERROR(T118/K118,0)</x:f>
        <x:v>0</x:v>
      </x:c>
      <x:c r="V118" s="282" t="n">
        <x:f>IF(F118="",0,IF(M118="",TODAY()-F118,M118-F118))</x:f>
        <x:v>0</x:v>
      </x:c>
      <x:c r="W118" s="223"/>
      <x:c r="X118" s="223"/>
      <x:c r="Y118" s="223"/>
      <x:c r="Z118" s="223"/>
    </x:row>
    <x:row r="119">
      <x:c r="A119" s="223"/>
      <x:c r="B119" s="223"/>
      <x:c r="C119" s="223"/>
      <x:c r="D119" s="223"/>
      <x:c r="E119" s="223"/>
      <x:c r="F119" s="292"/>
      <x:c r="G119" s="223"/>
      <x:c r="H119" s="282"/>
      <x:c r="I119" s="293" t="n">
        <x:f>IF(G119="",0,XLOOKUP(G119,'平台参数'!$A$5:$A$9,'平台参数'!$E$5:$E$9,0)+XLOOKUP(G119,'平台参数'!$A$5:$A$9,'平台参数'!$G$5:$G$9,0))</x:f>
        <x:v>0</x:v>
      </x:c>
      <x:c r="J119" s="282" t="n">
        <x:f>IF(G119="",0,XLOOKUP(G119,'平台参数'!$A$5:$A$9,'平台参数'!$H$5:$H$9,0))</x:f>
        <x:v>0</x:v>
      </x:c>
      <x:c r="K119" s="282" t="n">
        <x:f>IF(H119=0,0,H119*(1+I119)+J119)</x:f>
        <x:v>0</x:v>
      </x:c>
      <x:c r="L119" s="292"/>
      <x:c r="M119" s="292"/>
      <x:c r="N119" s="223"/>
      <x:c r="O119" s="282"/>
      <x:c r="P119" s="293" t="n">
        <x:f>IF(N119="",0,XLOOKUP(N119,'平台参数'!$A$5:$A$9,'平台参数'!$F$5:$F$9,0))</x:f>
        <x:v>0</x:v>
      </x:c>
      <x:c r="Q119" s="293" t="n">
        <x:f>IF(N119="",0,XLOOKUP(N119,'平台参数'!$A$5:$A$9,'平台参数'!$G$5:$G$9,0))</x:f>
        <x:v>0</x:v>
      </x:c>
      <x:c r="R119" s="282" t="n">
        <x:f>IF(N119="",0,XLOOKUP(N119,'平台参数'!$A$5:$A$9,'平台参数'!$I$5:$I$9,0))</x:f>
        <x:v>0</x:v>
      </x:c>
      <x:c r="S119" s="282" t="n">
        <x:f>IF(O119=0,0,O119*(1-P119-Q119)-R119)</x:f>
        <x:v>0</x:v>
      </x:c>
      <x:c r="T119" s="282" t="n">
        <x:f>S119-K119</x:f>
        <x:v>0</x:v>
      </x:c>
      <x:c r="U119" s="293" t="n">
        <x:f>IFERROR(T119/K119,0)</x:f>
        <x:v>0</x:v>
      </x:c>
      <x:c r="V119" s="282" t="n">
        <x:f>IF(F119="",0,IF(M119="",TODAY()-F119,M119-F119))</x:f>
        <x:v>0</x:v>
      </x:c>
      <x:c r="W119" s="223"/>
      <x:c r="X119" s="223"/>
      <x:c r="Y119" s="223"/>
      <x:c r="Z119" s="223"/>
    </x:row>
    <x:row r="120">
      <x:c r="A120" s="223"/>
      <x:c r="B120" s="223"/>
      <x:c r="C120" s="223"/>
      <x:c r="D120" s="223"/>
      <x:c r="E120" s="223"/>
      <x:c r="F120" s="292"/>
      <x:c r="G120" s="223"/>
      <x:c r="H120" s="282"/>
      <x:c r="I120" s="293" t="n">
        <x:f>IF(G120="",0,XLOOKUP(G120,'平台参数'!$A$5:$A$9,'平台参数'!$E$5:$E$9,0)+XLOOKUP(G120,'平台参数'!$A$5:$A$9,'平台参数'!$G$5:$G$9,0))</x:f>
        <x:v>0</x:v>
      </x:c>
      <x:c r="J120" s="282" t="n">
        <x:f>IF(G120="",0,XLOOKUP(G120,'平台参数'!$A$5:$A$9,'平台参数'!$H$5:$H$9,0))</x:f>
        <x:v>0</x:v>
      </x:c>
      <x:c r="K120" s="282" t="n">
        <x:f>IF(H120=0,0,H120*(1+I120)+J120)</x:f>
        <x:v>0</x:v>
      </x:c>
      <x:c r="L120" s="292"/>
      <x:c r="M120" s="292"/>
      <x:c r="N120" s="223"/>
      <x:c r="O120" s="282"/>
      <x:c r="P120" s="293" t="n">
        <x:f>IF(N120="",0,XLOOKUP(N120,'平台参数'!$A$5:$A$9,'平台参数'!$F$5:$F$9,0))</x:f>
        <x:v>0</x:v>
      </x:c>
      <x:c r="Q120" s="293" t="n">
        <x:f>IF(N120="",0,XLOOKUP(N120,'平台参数'!$A$5:$A$9,'平台参数'!$G$5:$G$9,0))</x:f>
        <x:v>0</x:v>
      </x:c>
      <x:c r="R120" s="282" t="n">
        <x:f>IF(N120="",0,XLOOKUP(N120,'平台参数'!$A$5:$A$9,'平台参数'!$I$5:$I$9,0))</x:f>
        <x:v>0</x:v>
      </x:c>
      <x:c r="S120" s="282" t="n">
        <x:f>IF(O120=0,0,O120*(1-P120-Q120)-R120)</x:f>
        <x:v>0</x:v>
      </x:c>
      <x:c r="T120" s="282" t="n">
        <x:f>S120-K120</x:f>
        <x:v>0</x:v>
      </x:c>
      <x:c r="U120" s="293" t="n">
        <x:f>IFERROR(T120/K120,0)</x:f>
        <x:v>0</x:v>
      </x:c>
      <x:c r="V120" s="282" t="n">
        <x:f>IF(F120="",0,IF(M120="",TODAY()-F120,M120-F120))</x:f>
        <x:v>0</x:v>
      </x:c>
      <x:c r="W120" s="223"/>
      <x:c r="X120" s="223"/>
      <x:c r="Y120" s="223"/>
      <x:c r="Z120" s="223"/>
    </x:row>
    <x:row r="121">
      <x:c r="A121" s="223"/>
      <x:c r="B121" s="223"/>
      <x:c r="C121" s="223"/>
      <x:c r="D121" s="223"/>
      <x:c r="E121" s="223"/>
      <x:c r="F121" s="292"/>
      <x:c r="G121" s="223"/>
      <x:c r="H121" s="282"/>
      <x:c r="I121" s="293" t="n">
        <x:f>IF(G121="",0,XLOOKUP(G121,'平台参数'!$A$5:$A$9,'平台参数'!$E$5:$E$9,0)+XLOOKUP(G121,'平台参数'!$A$5:$A$9,'平台参数'!$G$5:$G$9,0))</x:f>
        <x:v>0</x:v>
      </x:c>
      <x:c r="J121" s="282" t="n">
        <x:f>IF(G121="",0,XLOOKUP(G121,'平台参数'!$A$5:$A$9,'平台参数'!$H$5:$H$9,0))</x:f>
        <x:v>0</x:v>
      </x:c>
      <x:c r="K121" s="282" t="n">
        <x:f>IF(H121=0,0,H121*(1+I121)+J121)</x:f>
        <x:v>0</x:v>
      </x:c>
      <x:c r="L121" s="292"/>
      <x:c r="M121" s="292"/>
      <x:c r="N121" s="223"/>
      <x:c r="O121" s="282"/>
      <x:c r="P121" s="293" t="n">
        <x:f>IF(N121="",0,XLOOKUP(N121,'平台参数'!$A$5:$A$9,'平台参数'!$F$5:$F$9,0))</x:f>
        <x:v>0</x:v>
      </x:c>
      <x:c r="Q121" s="293" t="n">
        <x:f>IF(N121="",0,XLOOKUP(N121,'平台参数'!$A$5:$A$9,'平台参数'!$G$5:$G$9,0))</x:f>
        <x:v>0</x:v>
      </x:c>
      <x:c r="R121" s="282" t="n">
        <x:f>IF(N121="",0,XLOOKUP(N121,'平台参数'!$A$5:$A$9,'平台参数'!$I$5:$I$9,0))</x:f>
        <x:v>0</x:v>
      </x:c>
      <x:c r="S121" s="282" t="n">
        <x:f>IF(O121=0,0,O121*(1-P121-Q121)-R121)</x:f>
        <x:v>0</x:v>
      </x:c>
      <x:c r="T121" s="282" t="n">
        <x:f>S121-K121</x:f>
        <x:v>0</x:v>
      </x:c>
      <x:c r="U121" s="293" t="n">
        <x:f>IFERROR(T121/K121,0)</x:f>
        <x:v>0</x:v>
      </x:c>
      <x:c r="V121" s="282" t="n">
        <x:f>IF(F121="",0,IF(M121="",TODAY()-F121,M121-F121))</x:f>
        <x:v>0</x:v>
      </x:c>
      <x:c r="W121" s="223"/>
      <x:c r="X121" s="223"/>
      <x:c r="Y121" s="223"/>
      <x:c r="Z121" s="223"/>
    </x:row>
    <x:row r="122">
      <x:c r="A122" s="223"/>
      <x:c r="B122" s="223"/>
      <x:c r="C122" s="223"/>
      <x:c r="D122" s="223"/>
      <x:c r="E122" s="223"/>
      <x:c r="F122" s="292"/>
      <x:c r="G122" s="223"/>
      <x:c r="H122" s="282"/>
      <x:c r="I122" s="293" t="n">
        <x:f>IF(G122="",0,XLOOKUP(G122,'平台参数'!$A$5:$A$9,'平台参数'!$E$5:$E$9,0)+XLOOKUP(G122,'平台参数'!$A$5:$A$9,'平台参数'!$G$5:$G$9,0))</x:f>
        <x:v>0</x:v>
      </x:c>
      <x:c r="J122" s="282" t="n">
        <x:f>IF(G122="",0,XLOOKUP(G122,'平台参数'!$A$5:$A$9,'平台参数'!$H$5:$H$9,0))</x:f>
        <x:v>0</x:v>
      </x:c>
      <x:c r="K122" s="282" t="n">
        <x:f>IF(H122=0,0,H122*(1+I122)+J122)</x:f>
        <x:v>0</x:v>
      </x:c>
      <x:c r="L122" s="292"/>
      <x:c r="M122" s="292"/>
      <x:c r="N122" s="223"/>
      <x:c r="O122" s="282"/>
      <x:c r="P122" s="293" t="n">
        <x:f>IF(N122="",0,XLOOKUP(N122,'平台参数'!$A$5:$A$9,'平台参数'!$F$5:$F$9,0))</x:f>
        <x:v>0</x:v>
      </x:c>
      <x:c r="Q122" s="293" t="n">
        <x:f>IF(N122="",0,XLOOKUP(N122,'平台参数'!$A$5:$A$9,'平台参数'!$G$5:$G$9,0))</x:f>
        <x:v>0</x:v>
      </x:c>
      <x:c r="R122" s="282" t="n">
        <x:f>IF(N122="",0,XLOOKUP(N122,'平台参数'!$A$5:$A$9,'平台参数'!$I$5:$I$9,0))</x:f>
        <x:v>0</x:v>
      </x:c>
      <x:c r="S122" s="282" t="n">
        <x:f>IF(O122=0,0,O122*(1-P122-Q122)-R122)</x:f>
        <x:v>0</x:v>
      </x:c>
      <x:c r="T122" s="282" t="n">
        <x:f>S122-K122</x:f>
        <x:v>0</x:v>
      </x:c>
      <x:c r="U122" s="293" t="n">
        <x:f>IFERROR(T122/K122,0)</x:f>
        <x:v>0</x:v>
      </x:c>
      <x:c r="V122" s="282" t="n">
        <x:f>IF(F122="",0,IF(M122="",TODAY()-F122,M122-F122))</x:f>
        <x:v>0</x:v>
      </x:c>
      <x:c r="W122" s="223"/>
      <x:c r="X122" s="223"/>
      <x:c r="Y122" s="223"/>
      <x:c r="Z122" s="223"/>
    </x:row>
    <x:row r="123">
      <x:c r="A123" s="223"/>
      <x:c r="B123" s="223"/>
      <x:c r="C123" s="223"/>
      <x:c r="D123" s="223"/>
      <x:c r="E123" s="223"/>
      <x:c r="F123" s="292"/>
      <x:c r="G123" s="223"/>
      <x:c r="H123" s="282"/>
      <x:c r="I123" s="293" t="n">
        <x:f>IF(G123="",0,XLOOKUP(G123,'平台参数'!$A$5:$A$9,'平台参数'!$E$5:$E$9,0)+XLOOKUP(G123,'平台参数'!$A$5:$A$9,'平台参数'!$G$5:$G$9,0))</x:f>
        <x:v>0</x:v>
      </x:c>
      <x:c r="J123" s="282" t="n">
        <x:f>IF(G123="",0,XLOOKUP(G123,'平台参数'!$A$5:$A$9,'平台参数'!$H$5:$H$9,0))</x:f>
        <x:v>0</x:v>
      </x:c>
      <x:c r="K123" s="282" t="n">
        <x:f>IF(H123=0,0,H123*(1+I123)+J123)</x:f>
        <x:v>0</x:v>
      </x:c>
      <x:c r="L123" s="292"/>
      <x:c r="M123" s="292"/>
      <x:c r="N123" s="223"/>
      <x:c r="O123" s="282"/>
      <x:c r="P123" s="293" t="n">
        <x:f>IF(N123="",0,XLOOKUP(N123,'平台参数'!$A$5:$A$9,'平台参数'!$F$5:$F$9,0))</x:f>
        <x:v>0</x:v>
      </x:c>
      <x:c r="Q123" s="293" t="n">
        <x:f>IF(N123="",0,XLOOKUP(N123,'平台参数'!$A$5:$A$9,'平台参数'!$G$5:$G$9,0))</x:f>
        <x:v>0</x:v>
      </x:c>
      <x:c r="R123" s="282" t="n">
        <x:f>IF(N123="",0,XLOOKUP(N123,'平台参数'!$A$5:$A$9,'平台参数'!$I$5:$I$9,0))</x:f>
        <x:v>0</x:v>
      </x:c>
      <x:c r="S123" s="282" t="n">
        <x:f>IF(O123=0,0,O123*(1-P123-Q123)-R123)</x:f>
        <x:v>0</x:v>
      </x:c>
      <x:c r="T123" s="282" t="n">
        <x:f>S123-K123</x:f>
        <x:v>0</x:v>
      </x:c>
      <x:c r="U123" s="293" t="n">
        <x:f>IFERROR(T123/K123,0)</x:f>
        <x:v>0</x:v>
      </x:c>
      <x:c r="V123" s="282" t="n">
        <x:f>IF(F123="",0,IF(M123="",TODAY()-F123,M123-F123))</x:f>
        <x:v>0</x:v>
      </x:c>
      <x:c r="W123" s="223"/>
      <x:c r="X123" s="223"/>
      <x:c r="Y123" s="223"/>
      <x:c r="Z123" s="223"/>
    </x:row>
    <x:row r="124">
      <x:c r="A124" s="223"/>
      <x:c r="B124" s="223"/>
      <x:c r="C124" s="223"/>
      <x:c r="D124" s="223"/>
      <x:c r="E124" s="223"/>
      <x:c r="F124" s="292"/>
      <x:c r="G124" s="223"/>
      <x:c r="H124" s="282"/>
      <x:c r="I124" s="293" t="n">
        <x:f>IF(G124="",0,XLOOKUP(G124,'平台参数'!$A$5:$A$9,'平台参数'!$E$5:$E$9,0)+XLOOKUP(G124,'平台参数'!$A$5:$A$9,'平台参数'!$G$5:$G$9,0))</x:f>
        <x:v>0</x:v>
      </x:c>
      <x:c r="J124" s="282" t="n">
        <x:f>IF(G124="",0,XLOOKUP(G124,'平台参数'!$A$5:$A$9,'平台参数'!$H$5:$H$9,0))</x:f>
        <x:v>0</x:v>
      </x:c>
      <x:c r="K124" s="282" t="n">
        <x:f>IF(H124=0,0,H124*(1+I124)+J124)</x:f>
        <x:v>0</x:v>
      </x:c>
      <x:c r="L124" s="292"/>
      <x:c r="M124" s="292"/>
      <x:c r="N124" s="223"/>
      <x:c r="O124" s="282"/>
      <x:c r="P124" s="293" t="n">
        <x:f>IF(N124="",0,XLOOKUP(N124,'平台参数'!$A$5:$A$9,'平台参数'!$F$5:$F$9,0))</x:f>
        <x:v>0</x:v>
      </x:c>
      <x:c r="Q124" s="293" t="n">
        <x:f>IF(N124="",0,XLOOKUP(N124,'平台参数'!$A$5:$A$9,'平台参数'!$G$5:$G$9,0))</x:f>
        <x:v>0</x:v>
      </x:c>
      <x:c r="R124" s="282" t="n">
        <x:f>IF(N124="",0,XLOOKUP(N124,'平台参数'!$A$5:$A$9,'平台参数'!$I$5:$I$9,0))</x:f>
        <x:v>0</x:v>
      </x:c>
      <x:c r="S124" s="282" t="n">
        <x:f>IF(O124=0,0,O124*(1-P124-Q124)-R124)</x:f>
        <x:v>0</x:v>
      </x:c>
      <x:c r="T124" s="282" t="n">
        <x:f>S124-K124</x:f>
        <x:v>0</x:v>
      </x:c>
      <x:c r="U124" s="293" t="n">
        <x:f>IFERROR(T124/K124,0)</x:f>
        <x:v>0</x:v>
      </x:c>
      <x:c r="V124" s="282" t="n">
        <x:f>IF(F124="",0,IF(M124="",TODAY()-F124,M124-F124))</x:f>
        <x:v>0</x:v>
      </x:c>
      <x:c r="W124" s="223"/>
      <x:c r="X124" s="223"/>
      <x:c r="Y124" s="223"/>
      <x:c r="Z124" s="223"/>
    </x:row>
    <x:row r="125">
      <x:c r="A125" s="223"/>
      <x:c r="B125" s="223"/>
      <x:c r="C125" s="223"/>
      <x:c r="D125" s="223"/>
      <x:c r="E125" s="223"/>
      <x:c r="F125" s="292"/>
      <x:c r="G125" s="223"/>
      <x:c r="H125" s="282"/>
      <x:c r="I125" s="293" t="n">
        <x:f>IF(G125="",0,XLOOKUP(G125,'平台参数'!$A$5:$A$9,'平台参数'!$E$5:$E$9,0)+XLOOKUP(G125,'平台参数'!$A$5:$A$9,'平台参数'!$G$5:$G$9,0))</x:f>
        <x:v>0</x:v>
      </x:c>
      <x:c r="J125" s="282" t="n">
        <x:f>IF(G125="",0,XLOOKUP(G125,'平台参数'!$A$5:$A$9,'平台参数'!$H$5:$H$9,0))</x:f>
        <x:v>0</x:v>
      </x:c>
      <x:c r="K125" s="282" t="n">
        <x:f>IF(H125=0,0,H125*(1+I125)+J125)</x:f>
        <x:v>0</x:v>
      </x:c>
      <x:c r="L125" s="292"/>
      <x:c r="M125" s="292"/>
      <x:c r="N125" s="223"/>
      <x:c r="O125" s="282"/>
      <x:c r="P125" s="293" t="n">
        <x:f>IF(N125="",0,XLOOKUP(N125,'平台参数'!$A$5:$A$9,'平台参数'!$F$5:$F$9,0))</x:f>
        <x:v>0</x:v>
      </x:c>
      <x:c r="Q125" s="293" t="n">
        <x:f>IF(N125="",0,XLOOKUP(N125,'平台参数'!$A$5:$A$9,'平台参数'!$G$5:$G$9,0))</x:f>
        <x:v>0</x:v>
      </x:c>
      <x:c r="R125" s="282" t="n">
        <x:f>IF(N125="",0,XLOOKUP(N125,'平台参数'!$A$5:$A$9,'平台参数'!$I$5:$I$9,0))</x:f>
        <x:v>0</x:v>
      </x:c>
      <x:c r="S125" s="282" t="n">
        <x:f>IF(O125=0,0,O125*(1-P125-Q125)-R125)</x:f>
        <x:v>0</x:v>
      </x:c>
      <x:c r="T125" s="282" t="n">
        <x:f>S125-K125</x:f>
        <x:v>0</x:v>
      </x:c>
      <x:c r="U125" s="293" t="n">
        <x:f>IFERROR(T125/K125,0)</x:f>
        <x:v>0</x:v>
      </x:c>
      <x:c r="V125" s="282" t="n">
        <x:f>IF(F125="",0,IF(M125="",TODAY()-F125,M125-F125))</x:f>
        <x:v>0</x:v>
      </x:c>
      <x:c r="W125" s="223"/>
      <x:c r="X125" s="223"/>
      <x:c r="Y125" s="223"/>
      <x:c r="Z125" s="223"/>
    </x:row>
    <x:row r="126">
      <x:c r="A126" s="223"/>
      <x:c r="B126" s="223"/>
      <x:c r="C126" s="223"/>
      <x:c r="D126" s="223"/>
      <x:c r="E126" s="223"/>
      <x:c r="F126" s="292"/>
      <x:c r="G126" s="223"/>
      <x:c r="H126" s="282"/>
      <x:c r="I126" s="293" t="n">
        <x:f>IF(G126="",0,XLOOKUP(G126,'平台参数'!$A$5:$A$9,'平台参数'!$E$5:$E$9,0)+XLOOKUP(G126,'平台参数'!$A$5:$A$9,'平台参数'!$G$5:$G$9,0))</x:f>
        <x:v>0</x:v>
      </x:c>
      <x:c r="J126" s="282" t="n">
        <x:f>IF(G126="",0,XLOOKUP(G126,'平台参数'!$A$5:$A$9,'平台参数'!$H$5:$H$9,0))</x:f>
        <x:v>0</x:v>
      </x:c>
      <x:c r="K126" s="282" t="n">
        <x:f>IF(H126=0,0,H126*(1+I126)+J126)</x:f>
        <x:v>0</x:v>
      </x:c>
      <x:c r="L126" s="292"/>
      <x:c r="M126" s="292"/>
      <x:c r="N126" s="223"/>
      <x:c r="O126" s="282"/>
      <x:c r="P126" s="293" t="n">
        <x:f>IF(N126="",0,XLOOKUP(N126,'平台参数'!$A$5:$A$9,'平台参数'!$F$5:$F$9,0))</x:f>
        <x:v>0</x:v>
      </x:c>
      <x:c r="Q126" s="293" t="n">
        <x:f>IF(N126="",0,XLOOKUP(N126,'平台参数'!$A$5:$A$9,'平台参数'!$G$5:$G$9,0))</x:f>
        <x:v>0</x:v>
      </x:c>
      <x:c r="R126" s="282" t="n">
        <x:f>IF(N126="",0,XLOOKUP(N126,'平台参数'!$A$5:$A$9,'平台参数'!$I$5:$I$9,0))</x:f>
        <x:v>0</x:v>
      </x:c>
      <x:c r="S126" s="282" t="n">
        <x:f>IF(O126=0,0,O126*(1-P126-Q126)-R126)</x:f>
        <x:v>0</x:v>
      </x:c>
      <x:c r="T126" s="282" t="n">
        <x:f>S126-K126</x:f>
        <x:v>0</x:v>
      </x:c>
      <x:c r="U126" s="293" t="n">
        <x:f>IFERROR(T126/K126,0)</x:f>
        <x:v>0</x:v>
      </x:c>
      <x:c r="V126" s="282" t="n">
        <x:f>IF(F126="",0,IF(M126="",TODAY()-F126,M126-F126))</x:f>
        <x:v>0</x:v>
      </x:c>
      <x:c r="W126" s="223"/>
      <x:c r="X126" s="223"/>
      <x:c r="Y126" s="223"/>
      <x:c r="Z126" s="223"/>
    </x:row>
    <x:row r="127">
      <x:c r="A127" s="223"/>
      <x:c r="B127" s="223"/>
      <x:c r="C127" s="223"/>
      <x:c r="D127" s="223"/>
      <x:c r="E127" s="223"/>
      <x:c r="F127" s="292"/>
      <x:c r="G127" s="223"/>
      <x:c r="H127" s="282"/>
      <x:c r="I127" s="293" t="n">
        <x:f>IF(G127="",0,XLOOKUP(G127,'平台参数'!$A$5:$A$9,'平台参数'!$E$5:$E$9,0)+XLOOKUP(G127,'平台参数'!$A$5:$A$9,'平台参数'!$G$5:$G$9,0))</x:f>
        <x:v>0</x:v>
      </x:c>
      <x:c r="J127" s="282" t="n">
        <x:f>IF(G127="",0,XLOOKUP(G127,'平台参数'!$A$5:$A$9,'平台参数'!$H$5:$H$9,0))</x:f>
        <x:v>0</x:v>
      </x:c>
      <x:c r="K127" s="282" t="n">
        <x:f>IF(H127=0,0,H127*(1+I127)+J127)</x:f>
        <x:v>0</x:v>
      </x:c>
      <x:c r="L127" s="292"/>
      <x:c r="M127" s="292"/>
      <x:c r="N127" s="223"/>
      <x:c r="O127" s="282"/>
      <x:c r="P127" s="293" t="n">
        <x:f>IF(N127="",0,XLOOKUP(N127,'平台参数'!$A$5:$A$9,'平台参数'!$F$5:$F$9,0))</x:f>
        <x:v>0</x:v>
      </x:c>
      <x:c r="Q127" s="293" t="n">
        <x:f>IF(N127="",0,XLOOKUP(N127,'平台参数'!$A$5:$A$9,'平台参数'!$G$5:$G$9,0))</x:f>
        <x:v>0</x:v>
      </x:c>
      <x:c r="R127" s="282" t="n">
        <x:f>IF(N127="",0,XLOOKUP(N127,'平台参数'!$A$5:$A$9,'平台参数'!$I$5:$I$9,0))</x:f>
        <x:v>0</x:v>
      </x:c>
      <x:c r="S127" s="282" t="n">
        <x:f>IF(O127=0,0,O127*(1-P127-Q127)-R127)</x:f>
        <x:v>0</x:v>
      </x:c>
      <x:c r="T127" s="282" t="n">
        <x:f>S127-K127</x:f>
        <x:v>0</x:v>
      </x:c>
      <x:c r="U127" s="293" t="n">
        <x:f>IFERROR(T127/K127,0)</x:f>
        <x:v>0</x:v>
      </x:c>
      <x:c r="V127" s="282" t="n">
        <x:f>IF(F127="",0,IF(M127="",TODAY()-F127,M127-F127))</x:f>
        <x:v>0</x:v>
      </x:c>
      <x:c r="W127" s="223"/>
      <x:c r="X127" s="223"/>
      <x:c r="Y127" s="223"/>
      <x:c r="Z127" s="223"/>
    </x:row>
    <x:row r="128">
      <x:c r="A128" s="223"/>
      <x:c r="B128" s="223"/>
      <x:c r="C128" s="223"/>
      <x:c r="D128" s="223"/>
      <x:c r="E128" s="223"/>
      <x:c r="F128" s="292"/>
      <x:c r="G128" s="223"/>
      <x:c r="H128" s="282"/>
      <x:c r="I128" s="293" t="n">
        <x:f>IF(G128="",0,XLOOKUP(G128,'平台参数'!$A$5:$A$9,'平台参数'!$E$5:$E$9,0)+XLOOKUP(G128,'平台参数'!$A$5:$A$9,'平台参数'!$G$5:$G$9,0))</x:f>
        <x:v>0</x:v>
      </x:c>
      <x:c r="J128" s="282" t="n">
        <x:f>IF(G128="",0,XLOOKUP(G128,'平台参数'!$A$5:$A$9,'平台参数'!$H$5:$H$9,0))</x:f>
        <x:v>0</x:v>
      </x:c>
      <x:c r="K128" s="282" t="n">
        <x:f>IF(H128=0,0,H128*(1+I128)+J128)</x:f>
        <x:v>0</x:v>
      </x:c>
      <x:c r="L128" s="292"/>
      <x:c r="M128" s="292"/>
      <x:c r="N128" s="223"/>
      <x:c r="O128" s="282"/>
      <x:c r="P128" s="293" t="n">
        <x:f>IF(N128="",0,XLOOKUP(N128,'平台参数'!$A$5:$A$9,'平台参数'!$F$5:$F$9,0))</x:f>
        <x:v>0</x:v>
      </x:c>
      <x:c r="Q128" s="293" t="n">
        <x:f>IF(N128="",0,XLOOKUP(N128,'平台参数'!$A$5:$A$9,'平台参数'!$G$5:$G$9,0))</x:f>
        <x:v>0</x:v>
      </x:c>
      <x:c r="R128" s="282" t="n">
        <x:f>IF(N128="",0,XLOOKUP(N128,'平台参数'!$A$5:$A$9,'平台参数'!$I$5:$I$9,0))</x:f>
        <x:v>0</x:v>
      </x:c>
      <x:c r="S128" s="282" t="n">
        <x:f>IF(O128=0,0,O128*(1-P128-Q128)-R128)</x:f>
        <x:v>0</x:v>
      </x:c>
      <x:c r="T128" s="282" t="n">
        <x:f>S128-K128</x:f>
        <x:v>0</x:v>
      </x:c>
      <x:c r="U128" s="293" t="n">
        <x:f>IFERROR(T128/K128,0)</x:f>
        <x:v>0</x:v>
      </x:c>
      <x:c r="V128" s="282" t="n">
        <x:f>IF(F128="",0,IF(M128="",TODAY()-F128,M128-F128))</x:f>
        <x:v>0</x:v>
      </x:c>
      <x:c r="W128" s="223"/>
      <x:c r="X128" s="223"/>
      <x:c r="Y128" s="223"/>
      <x:c r="Z128" s="223"/>
    </x:row>
    <x:row r="129">
      <x:c r="A129" s="223"/>
      <x:c r="B129" s="223"/>
      <x:c r="C129" s="223"/>
      <x:c r="D129" s="223"/>
      <x:c r="E129" s="223"/>
      <x:c r="F129" s="292"/>
      <x:c r="G129" s="223"/>
      <x:c r="H129" s="282"/>
      <x:c r="I129" s="293" t="n">
        <x:f>IF(G129="",0,XLOOKUP(G129,'平台参数'!$A$5:$A$9,'平台参数'!$E$5:$E$9,0)+XLOOKUP(G129,'平台参数'!$A$5:$A$9,'平台参数'!$G$5:$G$9,0))</x:f>
        <x:v>0</x:v>
      </x:c>
      <x:c r="J129" s="282" t="n">
        <x:f>IF(G129="",0,XLOOKUP(G129,'平台参数'!$A$5:$A$9,'平台参数'!$H$5:$H$9,0))</x:f>
        <x:v>0</x:v>
      </x:c>
      <x:c r="K129" s="282" t="n">
        <x:f>IF(H129=0,0,H129*(1+I129)+J129)</x:f>
        <x:v>0</x:v>
      </x:c>
      <x:c r="L129" s="292"/>
      <x:c r="M129" s="292"/>
      <x:c r="N129" s="223"/>
      <x:c r="O129" s="282"/>
      <x:c r="P129" s="293" t="n">
        <x:f>IF(N129="",0,XLOOKUP(N129,'平台参数'!$A$5:$A$9,'平台参数'!$F$5:$F$9,0))</x:f>
        <x:v>0</x:v>
      </x:c>
      <x:c r="Q129" s="293" t="n">
        <x:f>IF(N129="",0,XLOOKUP(N129,'平台参数'!$A$5:$A$9,'平台参数'!$G$5:$G$9,0))</x:f>
        <x:v>0</x:v>
      </x:c>
      <x:c r="R129" s="282" t="n">
        <x:f>IF(N129="",0,XLOOKUP(N129,'平台参数'!$A$5:$A$9,'平台参数'!$I$5:$I$9,0))</x:f>
        <x:v>0</x:v>
      </x:c>
      <x:c r="S129" s="282" t="n">
        <x:f>IF(O129=0,0,O129*(1-P129-Q129)-R129)</x:f>
        <x:v>0</x:v>
      </x:c>
      <x:c r="T129" s="282" t="n">
        <x:f>S129-K129</x:f>
        <x:v>0</x:v>
      </x:c>
      <x:c r="U129" s="293" t="n">
        <x:f>IFERROR(T129/K129,0)</x:f>
        <x:v>0</x:v>
      </x:c>
      <x:c r="V129" s="282" t="n">
        <x:f>IF(F129="",0,IF(M129="",TODAY()-F129,M129-F129))</x:f>
        <x:v>0</x:v>
      </x:c>
      <x:c r="W129" s="223"/>
      <x:c r="X129" s="223"/>
      <x:c r="Y129" s="223"/>
      <x:c r="Z129" s="223"/>
    </x:row>
    <x:row r="130">
      <x:c r="A130" s="223"/>
      <x:c r="B130" s="223"/>
      <x:c r="C130" s="223"/>
      <x:c r="D130" s="223"/>
      <x:c r="E130" s="223"/>
      <x:c r="F130" s="292"/>
      <x:c r="G130" s="223"/>
      <x:c r="H130" s="282"/>
      <x:c r="I130" s="293" t="n">
        <x:f>IF(G130="",0,XLOOKUP(G130,'平台参数'!$A$5:$A$9,'平台参数'!$E$5:$E$9,0)+XLOOKUP(G130,'平台参数'!$A$5:$A$9,'平台参数'!$G$5:$G$9,0))</x:f>
        <x:v>0</x:v>
      </x:c>
      <x:c r="J130" s="282" t="n">
        <x:f>IF(G130="",0,XLOOKUP(G130,'平台参数'!$A$5:$A$9,'平台参数'!$H$5:$H$9,0))</x:f>
        <x:v>0</x:v>
      </x:c>
      <x:c r="K130" s="282" t="n">
        <x:f>IF(H130=0,0,H130*(1+I130)+J130)</x:f>
        <x:v>0</x:v>
      </x:c>
      <x:c r="L130" s="292"/>
      <x:c r="M130" s="292"/>
      <x:c r="N130" s="223"/>
      <x:c r="O130" s="282"/>
      <x:c r="P130" s="293" t="n">
        <x:f>IF(N130="",0,XLOOKUP(N130,'平台参数'!$A$5:$A$9,'平台参数'!$F$5:$F$9,0))</x:f>
        <x:v>0</x:v>
      </x:c>
      <x:c r="Q130" s="293" t="n">
        <x:f>IF(N130="",0,XLOOKUP(N130,'平台参数'!$A$5:$A$9,'平台参数'!$G$5:$G$9,0))</x:f>
        <x:v>0</x:v>
      </x:c>
      <x:c r="R130" s="282" t="n">
        <x:f>IF(N130="",0,XLOOKUP(N130,'平台参数'!$A$5:$A$9,'平台参数'!$I$5:$I$9,0))</x:f>
        <x:v>0</x:v>
      </x:c>
      <x:c r="S130" s="282" t="n">
        <x:f>IF(O130=0,0,O130*(1-P130-Q130)-R130)</x:f>
        <x:v>0</x:v>
      </x:c>
      <x:c r="T130" s="282" t="n">
        <x:f>S130-K130</x:f>
        <x:v>0</x:v>
      </x:c>
      <x:c r="U130" s="293" t="n">
        <x:f>IFERROR(T130/K130,0)</x:f>
        <x:v>0</x:v>
      </x:c>
      <x:c r="V130" s="282" t="n">
        <x:f>IF(F130="",0,IF(M130="",TODAY()-F130,M130-F130))</x:f>
        <x:v>0</x:v>
      </x:c>
      <x:c r="W130" s="223"/>
      <x:c r="X130" s="223"/>
      <x:c r="Y130" s="223"/>
      <x:c r="Z130" s="223"/>
    </x:row>
    <x:row r="131">
      <x:c r="A131" s="223"/>
      <x:c r="B131" s="223"/>
      <x:c r="C131" s="223"/>
      <x:c r="D131" s="223"/>
      <x:c r="E131" s="223"/>
      <x:c r="F131" s="292"/>
      <x:c r="G131" s="223"/>
      <x:c r="H131" s="282"/>
      <x:c r="I131" s="293" t="n">
        <x:f>IF(G131="",0,XLOOKUP(G131,'平台参数'!$A$5:$A$9,'平台参数'!$E$5:$E$9,0)+XLOOKUP(G131,'平台参数'!$A$5:$A$9,'平台参数'!$G$5:$G$9,0))</x:f>
        <x:v>0</x:v>
      </x:c>
      <x:c r="J131" s="282" t="n">
        <x:f>IF(G131="",0,XLOOKUP(G131,'平台参数'!$A$5:$A$9,'平台参数'!$H$5:$H$9,0))</x:f>
        <x:v>0</x:v>
      </x:c>
      <x:c r="K131" s="282" t="n">
        <x:f>IF(H131=0,0,H131*(1+I131)+J131)</x:f>
        <x:v>0</x:v>
      </x:c>
      <x:c r="L131" s="292"/>
      <x:c r="M131" s="292"/>
      <x:c r="N131" s="223"/>
      <x:c r="O131" s="282"/>
      <x:c r="P131" s="293" t="n">
        <x:f>IF(N131="",0,XLOOKUP(N131,'平台参数'!$A$5:$A$9,'平台参数'!$F$5:$F$9,0))</x:f>
        <x:v>0</x:v>
      </x:c>
      <x:c r="Q131" s="293" t="n">
        <x:f>IF(N131="",0,XLOOKUP(N131,'平台参数'!$A$5:$A$9,'平台参数'!$G$5:$G$9,0))</x:f>
        <x:v>0</x:v>
      </x:c>
      <x:c r="R131" s="282" t="n">
        <x:f>IF(N131="",0,XLOOKUP(N131,'平台参数'!$A$5:$A$9,'平台参数'!$I$5:$I$9,0))</x:f>
        <x:v>0</x:v>
      </x:c>
      <x:c r="S131" s="282" t="n">
        <x:f>IF(O131=0,0,O131*(1-P131-Q131)-R131)</x:f>
        <x:v>0</x:v>
      </x:c>
      <x:c r="T131" s="282" t="n">
        <x:f>S131-K131</x:f>
        <x:v>0</x:v>
      </x:c>
      <x:c r="U131" s="293" t="n">
        <x:f>IFERROR(T131/K131,0)</x:f>
        <x:v>0</x:v>
      </x:c>
      <x:c r="V131" s="282" t="n">
        <x:f>IF(F131="",0,IF(M131="",TODAY()-F131,M131-F131))</x:f>
        <x:v>0</x:v>
      </x:c>
      <x:c r="W131" s="223"/>
      <x:c r="X131" s="223"/>
      <x:c r="Y131" s="223"/>
      <x:c r="Z131" s="223"/>
    </x:row>
    <x:row r="132">
      <x:c r="A132" s="223"/>
      <x:c r="B132" s="223"/>
      <x:c r="C132" s="223"/>
      <x:c r="D132" s="223"/>
      <x:c r="E132" s="223"/>
      <x:c r="F132" s="292"/>
      <x:c r="G132" s="223"/>
      <x:c r="H132" s="282"/>
      <x:c r="I132" s="293" t="n">
        <x:f>IF(G132="",0,XLOOKUP(G132,'平台参数'!$A$5:$A$9,'平台参数'!$E$5:$E$9,0)+XLOOKUP(G132,'平台参数'!$A$5:$A$9,'平台参数'!$G$5:$G$9,0))</x:f>
        <x:v>0</x:v>
      </x:c>
      <x:c r="J132" s="282" t="n">
        <x:f>IF(G132="",0,XLOOKUP(G132,'平台参数'!$A$5:$A$9,'平台参数'!$H$5:$H$9,0))</x:f>
        <x:v>0</x:v>
      </x:c>
      <x:c r="K132" s="282" t="n">
        <x:f>IF(H132=0,0,H132*(1+I132)+J132)</x:f>
        <x:v>0</x:v>
      </x:c>
      <x:c r="L132" s="292"/>
      <x:c r="M132" s="292"/>
      <x:c r="N132" s="223"/>
      <x:c r="O132" s="282"/>
      <x:c r="P132" s="293" t="n">
        <x:f>IF(N132="",0,XLOOKUP(N132,'平台参数'!$A$5:$A$9,'平台参数'!$F$5:$F$9,0))</x:f>
        <x:v>0</x:v>
      </x:c>
      <x:c r="Q132" s="293" t="n">
        <x:f>IF(N132="",0,XLOOKUP(N132,'平台参数'!$A$5:$A$9,'平台参数'!$G$5:$G$9,0))</x:f>
        <x:v>0</x:v>
      </x:c>
      <x:c r="R132" s="282" t="n">
        <x:f>IF(N132="",0,XLOOKUP(N132,'平台参数'!$A$5:$A$9,'平台参数'!$I$5:$I$9,0))</x:f>
        <x:v>0</x:v>
      </x:c>
      <x:c r="S132" s="282" t="n">
        <x:f>IF(O132=0,0,O132*(1-P132-Q132)-R132)</x:f>
        <x:v>0</x:v>
      </x:c>
      <x:c r="T132" s="282" t="n">
        <x:f>S132-K132</x:f>
        <x:v>0</x:v>
      </x:c>
      <x:c r="U132" s="293" t="n">
        <x:f>IFERROR(T132/K132,0)</x:f>
        <x:v>0</x:v>
      </x:c>
      <x:c r="V132" s="282" t="n">
        <x:f>IF(F132="",0,IF(M132="",TODAY()-F132,M132-F132))</x:f>
        <x:v>0</x:v>
      </x:c>
      <x:c r="W132" s="223"/>
      <x:c r="X132" s="223"/>
      <x:c r="Y132" s="223"/>
      <x:c r="Z132" s="223"/>
    </x:row>
    <x:row r="133">
      <x:c r="A133" s="223"/>
      <x:c r="B133" s="223"/>
      <x:c r="C133" s="223"/>
      <x:c r="D133" s="223"/>
      <x:c r="E133" s="223"/>
      <x:c r="F133" s="292"/>
      <x:c r="G133" s="223"/>
      <x:c r="H133" s="282"/>
      <x:c r="I133" s="293" t="n">
        <x:f>IF(G133="",0,XLOOKUP(G133,'平台参数'!$A$5:$A$9,'平台参数'!$E$5:$E$9,0)+XLOOKUP(G133,'平台参数'!$A$5:$A$9,'平台参数'!$G$5:$G$9,0))</x:f>
        <x:v>0</x:v>
      </x:c>
      <x:c r="J133" s="282" t="n">
        <x:f>IF(G133="",0,XLOOKUP(G133,'平台参数'!$A$5:$A$9,'平台参数'!$H$5:$H$9,0))</x:f>
        <x:v>0</x:v>
      </x:c>
      <x:c r="K133" s="282" t="n">
        <x:f>IF(H133=0,0,H133*(1+I133)+J133)</x:f>
        <x:v>0</x:v>
      </x:c>
      <x:c r="L133" s="292"/>
      <x:c r="M133" s="292"/>
      <x:c r="N133" s="223"/>
      <x:c r="O133" s="282"/>
      <x:c r="P133" s="293" t="n">
        <x:f>IF(N133="",0,XLOOKUP(N133,'平台参数'!$A$5:$A$9,'平台参数'!$F$5:$F$9,0))</x:f>
        <x:v>0</x:v>
      </x:c>
      <x:c r="Q133" s="293" t="n">
        <x:f>IF(N133="",0,XLOOKUP(N133,'平台参数'!$A$5:$A$9,'平台参数'!$G$5:$G$9,0))</x:f>
        <x:v>0</x:v>
      </x:c>
      <x:c r="R133" s="282" t="n">
        <x:f>IF(N133="",0,XLOOKUP(N133,'平台参数'!$A$5:$A$9,'平台参数'!$I$5:$I$9,0))</x:f>
        <x:v>0</x:v>
      </x:c>
      <x:c r="S133" s="282" t="n">
        <x:f>IF(O133=0,0,O133*(1-P133-Q133)-R133)</x:f>
        <x:v>0</x:v>
      </x:c>
      <x:c r="T133" s="282" t="n">
        <x:f>S133-K133</x:f>
        <x:v>0</x:v>
      </x:c>
      <x:c r="U133" s="293" t="n">
        <x:f>IFERROR(T133/K133,0)</x:f>
        <x:v>0</x:v>
      </x:c>
      <x:c r="V133" s="282" t="n">
        <x:f>IF(F133="",0,IF(M133="",TODAY()-F133,M133-F133))</x:f>
        <x:v>0</x:v>
      </x:c>
      <x:c r="W133" s="223"/>
      <x:c r="X133" s="223"/>
      <x:c r="Y133" s="223"/>
      <x:c r="Z133" s="223"/>
    </x:row>
    <x:row r="134">
      <x:c r="A134" s="223"/>
      <x:c r="B134" s="223"/>
      <x:c r="C134" s="223"/>
      <x:c r="D134" s="223"/>
      <x:c r="E134" s="223"/>
      <x:c r="F134" s="292"/>
      <x:c r="G134" s="223"/>
      <x:c r="H134" s="282"/>
      <x:c r="I134" s="293" t="n">
        <x:f>IF(G134="",0,XLOOKUP(G134,'平台参数'!$A$5:$A$9,'平台参数'!$E$5:$E$9,0)+XLOOKUP(G134,'平台参数'!$A$5:$A$9,'平台参数'!$G$5:$G$9,0))</x:f>
        <x:v>0</x:v>
      </x:c>
      <x:c r="J134" s="282" t="n">
        <x:f>IF(G134="",0,XLOOKUP(G134,'平台参数'!$A$5:$A$9,'平台参数'!$H$5:$H$9,0))</x:f>
        <x:v>0</x:v>
      </x:c>
      <x:c r="K134" s="282" t="n">
        <x:f>IF(H134=0,0,H134*(1+I134)+J134)</x:f>
        <x:v>0</x:v>
      </x:c>
      <x:c r="L134" s="292"/>
      <x:c r="M134" s="292"/>
      <x:c r="N134" s="223"/>
      <x:c r="O134" s="282"/>
      <x:c r="P134" s="293" t="n">
        <x:f>IF(N134="",0,XLOOKUP(N134,'平台参数'!$A$5:$A$9,'平台参数'!$F$5:$F$9,0))</x:f>
        <x:v>0</x:v>
      </x:c>
      <x:c r="Q134" s="293" t="n">
        <x:f>IF(N134="",0,XLOOKUP(N134,'平台参数'!$A$5:$A$9,'平台参数'!$G$5:$G$9,0))</x:f>
        <x:v>0</x:v>
      </x:c>
      <x:c r="R134" s="282" t="n">
        <x:f>IF(N134="",0,XLOOKUP(N134,'平台参数'!$A$5:$A$9,'平台参数'!$I$5:$I$9,0))</x:f>
        <x:v>0</x:v>
      </x:c>
      <x:c r="S134" s="282" t="n">
        <x:f>IF(O134=0,0,O134*(1-P134-Q134)-R134)</x:f>
        <x:v>0</x:v>
      </x:c>
      <x:c r="T134" s="282" t="n">
        <x:f>S134-K134</x:f>
        <x:v>0</x:v>
      </x:c>
      <x:c r="U134" s="293" t="n">
        <x:f>IFERROR(T134/K134,0)</x:f>
        <x:v>0</x:v>
      </x:c>
      <x:c r="V134" s="282" t="n">
        <x:f>IF(F134="",0,IF(M134="",TODAY()-F134,M134-F134))</x:f>
        <x:v>0</x:v>
      </x:c>
      <x:c r="W134" s="223"/>
      <x:c r="X134" s="223"/>
      <x:c r="Y134" s="223"/>
      <x:c r="Z134" s="223"/>
    </x:row>
    <x:row r="135">
      <x:c r="A135" s="223"/>
      <x:c r="B135" s="223"/>
      <x:c r="C135" s="223"/>
      <x:c r="D135" s="223"/>
      <x:c r="E135" s="223"/>
      <x:c r="F135" s="292"/>
      <x:c r="G135" s="223"/>
      <x:c r="H135" s="282"/>
      <x:c r="I135" s="293" t="n">
        <x:f>IF(G135="",0,XLOOKUP(G135,'平台参数'!$A$5:$A$9,'平台参数'!$E$5:$E$9,0)+XLOOKUP(G135,'平台参数'!$A$5:$A$9,'平台参数'!$G$5:$G$9,0))</x:f>
        <x:v>0</x:v>
      </x:c>
      <x:c r="J135" s="282" t="n">
        <x:f>IF(G135="",0,XLOOKUP(G135,'平台参数'!$A$5:$A$9,'平台参数'!$H$5:$H$9,0))</x:f>
        <x:v>0</x:v>
      </x:c>
      <x:c r="K135" s="282" t="n">
        <x:f>IF(H135=0,0,H135*(1+I135)+J135)</x:f>
        <x:v>0</x:v>
      </x:c>
      <x:c r="L135" s="292"/>
      <x:c r="M135" s="292"/>
      <x:c r="N135" s="223"/>
      <x:c r="O135" s="282"/>
      <x:c r="P135" s="293" t="n">
        <x:f>IF(N135="",0,XLOOKUP(N135,'平台参数'!$A$5:$A$9,'平台参数'!$F$5:$F$9,0))</x:f>
        <x:v>0</x:v>
      </x:c>
      <x:c r="Q135" s="293" t="n">
        <x:f>IF(N135="",0,XLOOKUP(N135,'平台参数'!$A$5:$A$9,'平台参数'!$G$5:$G$9,0))</x:f>
        <x:v>0</x:v>
      </x:c>
      <x:c r="R135" s="282" t="n">
        <x:f>IF(N135="",0,XLOOKUP(N135,'平台参数'!$A$5:$A$9,'平台参数'!$I$5:$I$9,0))</x:f>
        <x:v>0</x:v>
      </x:c>
      <x:c r="S135" s="282" t="n">
        <x:f>IF(O135=0,0,O135*(1-P135-Q135)-R135)</x:f>
        <x:v>0</x:v>
      </x:c>
      <x:c r="T135" s="282" t="n">
        <x:f>S135-K135</x:f>
        <x:v>0</x:v>
      </x:c>
      <x:c r="U135" s="293" t="n">
        <x:f>IFERROR(T135/K135,0)</x:f>
        <x:v>0</x:v>
      </x:c>
      <x:c r="V135" s="282" t="n">
        <x:f>IF(F135="",0,IF(M135="",TODAY()-F135,M135-F135))</x:f>
        <x:v>0</x:v>
      </x:c>
      <x:c r="W135" s="223"/>
      <x:c r="X135" s="223"/>
      <x:c r="Y135" s="223"/>
      <x:c r="Z135" s="223"/>
    </x:row>
    <x:row r="136">
      <x:c r="A136" s="223"/>
      <x:c r="B136" s="223"/>
      <x:c r="C136" s="223"/>
      <x:c r="D136" s="223"/>
      <x:c r="E136" s="223"/>
      <x:c r="F136" s="292"/>
      <x:c r="G136" s="223"/>
      <x:c r="H136" s="282"/>
      <x:c r="I136" s="293" t="n">
        <x:f>IF(G136="",0,XLOOKUP(G136,'平台参数'!$A$5:$A$9,'平台参数'!$E$5:$E$9,0)+XLOOKUP(G136,'平台参数'!$A$5:$A$9,'平台参数'!$G$5:$G$9,0))</x:f>
        <x:v>0</x:v>
      </x:c>
      <x:c r="J136" s="282" t="n">
        <x:f>IF(G136="",0,XLOOKUP(G136,'平台参数'!$A$5:$A$9,'平台参数'!$H$5:$H$9,0))</x:f>
        <x:v>0</x:v>
      </x:c>
      <x:c r="K136" s="282" t="n">
        <x:f>IF(H136=0,0,H136*(1+I136)+J136)</x:f>
        <x:v>0</x:v>
      </x:c>
      <x:c r="L136" s="292"/>
      <x:c r="M136" s="292"/>
      <x:c r="N136" s="223"/>
      <x:c r="O136" s="282"/>
      <x:c r="P136" s="293" t="n">
        <x:f>IF(N136="",0,XLOOKUP(N136,'平台参数'!$A$5:$A$9,'平台参数'!$F$5:$F$9,0))</x:f>
        <x:v>0</x:v>
      </x:c>
      <x:c r="Q136" s="293" t="n">
        <x:f>IF(N136="",0,XLOOKUP(N136,'平台参数'!$A$5:$A$9,'平台参数'!$G$5:$G$9,0))</x:f>
        <x:v>0</x:v>
      </x:c>
      <x:c r="R136" s="282" t="n">
        <x:f>IF(N136="",0,XLOOKUP(N136,'平台参数'!$A$5:$A$9,'平台参数'!$I$5:$I$9,0))</x:f>
        <x:v>0</x:v>
      </x:c>
      <x:c r="S136" s="282" t="n">
        <x:f>IF(O136=0,0,O136*(1-P136-Q136)-R136)</x:f>
        <x:v>0</x:v>
      </x:c>
      <x:c r="T136" s="282" t="n">
        <x:f>S136-K136</x:f>
        <x:v>0</x:v>
      </x:c>
      <x:c r="U136" s="293" t="n">
        <x:f>IFERROR(T136/K136,0)</x:f>
        <x:v>0</x:v>
      </x:c>
      <x:c r="V136" s="282" t="n">
        <x:f>IF(F136="",0,IF(M136="",TODAY()-F136,M136-F136))</x:f>
        <x:v>0</x:v>
      </x:c>
      <x:c r="W136" s="223"/>
      <x:c r="X136" s="223"/>
      <x:c r="Y136" s="223"/>
      <x:c r="Z136" s="223"/>
    </x:row>
    <x:row r="137">
      <x:c r="A137" s="223"/>
      <x:c r="B137" s="223"/>
      <x:c r="C137" s="223"/>
      <x:c r="D137" s="223"/>
      <x:c r="E137" s="223"/>
      <x:c r="F137" s="292"/>
      <x:c r="G137" s="223"/>
      <x:c r="H137" s="282"/>
      <x:c r="I137" s="293" t="n">
        <x:f>IF(G137="",0,XLOOKUP(G137,'平台参数'!$A$5:$A$9,'平台参数'!$E$5:$E$9,0)+XLOOKUP(G137,'平台参数'!$A$5:$A$9,'平台参数'!$G$5:$G$9,0))</x:f>
        <x:v>0</x:v>
      </x:c>
      <x:c r="J137" s="282" t="n">
        <x:f>IF(G137="",0,XLOOKUP(G137,'平台参数'!$A$5:$A$9,'平台参数'!$H$5:$H$9,0))</x:f>
        <x:v>0</x:v>
      </x:c>
      <x:c r="K137" s="282" t="n">
        <x:f>IF(H137=0,0,H137*(1+I137)+J137)</x:f>
        <x:v>0</x:v>
      </x:c>
      <x:c r="L137" s="292"/>
      <x:c r="M137" s="292"/>
      <x:c r="N137" s="223"/>
      <x:c r="O137" s="282"/>
      <x:c r="P137" s="293" t="n">
        <x:f>IF(N137="",0,XLOOKUP(N137,'平台参数'!$A$5:$A$9,'平台参数'!$F$5:$F$9,0))</x:f>
        <x:v>0</x:v>
      </x:c>
      <x:c r="Q137" s="293" t="n">
        <x:f>IF(N137="",0,XLOOKUP(N137,'平台参数'!$A$5:$A$9,'平台参数'!$G$5:$G$9,0))</x:f>
        <x:v>0</x:v>
      </x:c>
      <x:c r="R137" s="282" t="n">
        <x:f>IF(N137="",0,XLOOKUP(N137,'平台参数'!$A$5:$A$9,'平台参数'!$I$5:$I$9,0))</x:f>
        <x:v>0</x:v>
      </x:c>
      <x:c r="S137" s="282" t="n">
        <x:f>IF(O137=0,0,O137*(1-P137-Q137)-R137)</x:f>
        <x:v>0</x:v>
      </x:c>
      <x:c r="T137" s="282" t="n">
        <x:f>S137-K137</x:f>
        <x:v>0</x:v>
      </x:c>
      <x:c r="U137" s="293" t="n">
        <x:f>IFERROR(T137/K137,0)</x:f>
        <x:v>0</x:v>
      </x:c>
      <x:c r="V137" s="282" t="n">
        <x:f>IF(F137="",0,IF(M137="",TODAY()-F137,M137-F137))</x:f>
        <x:v>0</x:v>
      </x:c>
      <x:c r="W137" s="223"/>
      <x:c r="X137" s="223"/>
      <x:c r="Y137" s="223"/>
      <x:c r="Z137" s="223"/>
    </x:row>
    <x:row r="138">
      <x:c r="A138" s="223"/>
      <x:c r="B138" s="223"/>
      <x:c r="C138" s="223"/>
      <x:c r="D138" s="223"/>
      <x:c r="E138" s="223"/>
      <x:c r="F138" s="292"/>
      <x:c r="G138" s="223"/>
      <x:c r="H138" s="282"/>
      <x:c r="I138" s="293" t="n">
        <x:f>IF(G138="",0,XLOOKUP(G138,'平台参数'!$A$5:$A$9,'平台参数'!$E$5:$E$9,0)+XLOOKUP(G138,'平台参数'!$A$5:$A$9,'平台参数'!$G$5:$G$9,0))</x:f>
        <x:v>0</x:v>
      </x:c>
      <x:c r="J138" s="282" t="n">
        <x:f>IF(G138="",0,XLOOKUP(G138,'平台参数'!$A$5:$A$9,'平台参数'!$H$5:$H$9,0))</x:f>
        <x:v>0</x:v>
      </x:c>
      <x:c r="K138" s="282" t="n">
        <x:f>IF(H138=0,0,H138*(1+I138)+J138)</x:f>
        <x:v>0</x:v>
      </x:c>
      <x:c r="L138" s="292"/>
      <x:c r="M138" s="292"/>
      <x:c r="N138" s="223"/>
      <x:c r="O138" s="282"/>
      <x:c r="P138" s="293" t="n">
        <x:f>IF(N138="",0,XLOOKUP(N138,'平台参数'!$A$5:$A$9,'平台参数'!$F$5:$F$9,0))</x:f>
        <x:v>0</x:v>
      </x:c>
      <x:c r="Q138" s="293" t="n">
        <x:f>IF(N138="",0,XLOOKUP(N138,'平台参数'!$A$5:$A$9,'平台参数'!$G$5:$G$9,0))</x:f>
        <x:v>0</x:v>
      </x:c>
      <x:c r="R138" s="282" t="n">
        <x:f>IF(N138="",0,XLOOKUP(N138,'平台参数'!$A$5:$A$9,'平台参数'!$I$5:$I$9,0))</x:f>
        <x:v>0</x:v>
      </x:c>
      <x:c r="S138" s="282" t="n">
        <x:f>IF(O138=0,0,O138*(1-P138-Q138)-R138)</x:f>
        <x:v>0</x:v>
      </x:c>
      <x:c r="T138" s="282" t="n">
        <x:f>S138-K138</x:f>
        <x:v>0</x:v>
      </x:c>
      <x:c r="U138" s="293" t="n">
        <x:f>IFERROR(T138/K138,0)</x:f>
        <x:v>0</x:v>
      </x:c>
      <x:c r="V138" s="282" t="n">
        <x:f>IF(F138="",0,IF(M138="",TODAY()-F138,M138-F138))</x:f>
        <x:v>0</x:v>
      </x:c>
      <x:c r="W138" s="223"/>
      <x:c r="X138" s="223"/>
      <x:c r="Y138" s="223"/>
      <x:c r="Z138" s="223"/>
    </x:row>
    <x:row r="139">
      <x:c r="A139" s="223"/>
      <x:c r="B139" s="223"/>
      <x:c r="C139" s="223"/>
      <x:c r="D139" s="223"/>
      <x:c r="E139" s="223"/>
      <x:c r="F139" s="292"/>
      <x:c r="G139" s="223"/>
      <x:c r="H139" s="282"/>
      <x:c r="I139" s="293" t="n">
        <x:f>IF(G139="",0,XLOOKUP(G139,'平台参数'!$A$5:$A$9,'平台参数'!$E$5:$E$9,0)+XLOOKUP(G139,'平台参数'!$A$5:$A$9,'平台参数'!$G$5:$G$9,0))</x:f>
        <x:v>0</x:v>
      </x:c>
      <x:c r="J139" s="282" t="n">
        <x:f>IF(G139="",0,XLOOKUP(G139,'平台参数'!$A$5:$A$9,'平台参数'!$H$5:$H$9,0))</x:f>
        <x:v>0</x:v>
      </x:c>
      <x:c r="K139" s="282" t="n">
        <x:f>IF(H139=0,0,H139*(1+I139)+J139)</x:f>
        <x:v>0</x:v>
      </x:c>
      <x:c r="L139" s="292"/>
      <x:c r="M139" s="292"/>
      <x:c r="N139" s="223"/>
      <x:c r="O139" s="282"/>
      <x:c r="P139" s="293" t="n">
        <x:f>IF(N139="",0,XLOOKUP(N139,'平台参数'!$A$5:$A$9,'平台参数'!$F$5:$F$9,0))</x:f>
        <x:v>0</x:v>
      </x:c>
      <x:c r="Q139" s="293" t="n">
        <x:f>IF(N139="",0,XLOOKUP(N139,'平台参数'!$A$5:$A$9,'平台参数'!$G$5:$G$9,0))</x:f>
        <x:v>0</x:v>
      </x:c>
      <x:c r="R139" s="282" t="n">
        <x:f>IF(N139="",0,XLOOKUP(N139,'平台参数'!$A$5:$A$9,'平台参数'!$I$5:$I$9,0))</x:f>
        <x:v>0</x:v>
      </x:c>
      <x:c r="S139" s="282" t="n">
        <x:f>IF(O139=0,0,O139*(1-P139-Q139)-R139)</x:f>
        <x:v>0</x:v>
      </x:c>
      <x:c r="T139" s="282" t="n">
        <x:f>S139-K139</x:f>
        <x:v>0</x:v>
      </x:c>
      <x:c r="U139" s="293" t="n">
        <x:f>IFERROR(T139/K139,0)</x:f>
        <x:v>0</x:v>
      </x:c>
      <x:c r="V139" s="282" t="n">
        <x:f>IF(F139="",0,IF(M139="",TODAY()-F139,M139-F139))</x:f>
        <x:v>0</x:v>
      </x:c>
      <x:c r="W139" s="223"/>
      <x:c r="X139" s="223"/>
      <x:c r="Y139" s="223"/>
      <x:c r="Z139" s="223"/>
    </x:row>
    <x:row r="140">
      <x:c r="A140" s="223"/>
      <x:c r="B140" s="223"/>
      <x:c r="C140" s="223"/>
      <x:c r="D140" s="223"/>
      <x:c r="E140" s="223"/>
      <x:c r="F140" s="292"/>
      <x:c r="G140" s="223"/>
      <x:c r="H140" s="282"/>
      <x:c r="I140" s="293" t="n">
        <x:f>IF(G140="",0,XLOOKUP(G140,'平台参数'!$A$5:$A$9,'平台参数'!$E$5:$E$9,0)+XLOOKUP(G140,'平台参数'!$A$5:$A$9,'平台参数'!$G$5:$G$9,0))</x:f>
        <x:v>0</x:v>
      </x:c>
      <x:c r="J140" s="282" t="n">
        <x:f>IF(G140="",0,XLOOKUP(G140,'平台参数'!$A$5:$A$9,'平台参数'!$H$5:$H$9,0))</x:f>
        <x:v>0</x:v>
      </x:c>
      <x:c r="K140" s="282" t="n">
        <x:f>IF(H140=0,0,H140*(1+I140)+J140)</x:f>
        <x:v>0</x:v>
      </x:c>
      <x:c r="L140" s="292"/>
      <x:c r="M140" s="292"/>
      <x:c r="N140" s="223"/>
      <x:c r="O140" s="282"/>
      <x:c r="P140" s="293" t="n">
        <x:f>IF(N140="",0,XLOOKUP(N140,'平台参数'!$A$5:$A$9,'平台参数'!$F$5:$F$9,0))</x:f>
        <x:v>0</x:v>
      </x:c>
      <x:c r="Q140" s="293" t="n">
        <x:f>IF(N140="",0,XLOOKUP(N140,'平台参数'!$A$5:$A$9,'平台参数'!$G$5:$G$9,0))</x:f>
        <x:v>0</x:v>
      </x:c>
      <x:c r="R140" s="282" t="n">
        <x:f>IF(N140="",0,XLOOKUP(N140,'平台参数'!$A$5:$A$9,'平台参数'!$I$5:$I$9,0))</x:f>
        <x:v>0</x:v>
      </x:c>
      <x:c r="S140" s="282" t="n">
        <x:f>IF(O140=0,0,O140*(1-P140-Q140)-R140)</x:f>
        <x:v>0</x:v>
      </x:c>
      <x:c r="T140" s="282" t="n">
        <x:f>S140-K140</x:f>
        <x:v>0</x:v>
      </x:c>
      <x:c r="U140" s="293" t="n">
        <x:f>IFERROR(T140/K140,0)</x:f>
        <x:v>0</x:v>
      </x:c>
      <x:c r="V140" s="282" t="n">
        <x:f>IF(F140="",0,IF(M140="",TODAY()-F140,M140-F140))</x:f>
        <x:v>0</x:v>
      </x:c>
      <x:c r="W140" s="223"/>
      <x:c r="X140" s="223"/>
      <x:c r="Y140" s="223"/>
      <x:c r="Z140" s="223"/>
    </x:row>
    <x:row r="141">
      <x:c r="A141" s="223"/>
      <x:c r="B141" s="223"/>
      <x:c r="C141" s="223"/>
      <x:c r="D141" s="223"/>
      <x:c r="E141" s="223"/>
      <x:c r="F141" s="292"/>
      <x:c r="G141" s="223"/>
      <x:c r="H141" s="282"/>
      <x:c r="I141" s="293" t="n">
        <x:f>IF(G141="",0,XLOOKUP(G141,'平台参数'!$A$5:$A$9,'平台参数'!$E$5:$E$9,0)+XLOOKUP(G141,'平台参数'!$A$5:$A$9,'平台参数'!$G$5:$G$9,0))</x:f>
        <x:v>0</x:v>
      </x:c>
      <x:c r="J141" s="282" t="n">
        <x:f>IF(G141="",0,XLOOKUP(G141,'平台参数'!$A$5:$A$9,'平台参数'!$H$5:$H$9,0))</x:f>
        <x:v>0</x:v>
      </x:c>
      <x:c r="K141" s="282" t="n">
        <x:f>IF(H141=0,0,H141*(1+I141)+J141)</x:f>
        <x:v>0</x:v>
      </x:c>
      <x:c r="L141" s="292"/>
      <x:c r="M141" s="292"/>
      <x:c r="N141" s="223"/>
      <x:c r="O141" s="282"/>
      <x:c r="P141" s="293" t="n">
        <x:f>IF(N141="",0,XLOOKUP(N141,'平台参数'!$A$5:$A$9,'平台参数'!$F$5:$F$9,0))</x:f>
        <x:v>0</x:v>
      </x:c>
      <x:c r="Q141" s="293" t="n">
        <x:f>IF(N141="",0,XLOOKUP(N141,'平台参数'!$A$5:$A$9,'平台参数'!$G$5:$G$9,0))</x:f>
        <x:v>0</x:v>
      </x:c>
      <x:c r="R141" s="282" t="n">
        <x:f>IF(N141="",0,XLOOKUP(N141,'平台参数'!$A$5:$A$9,'平台参数'!$I$5:$I$9,0))</x:f>
        <x:v>0</x:v>
      </x:c>
      <x:c r="S141" s="282" t="n">
        <x:f>IF(O141=0,0,O141*(1-P141-Q141)-R141)</x:f>
        <x:v>0</x:v>
      </x:c>
      <x:c r="T141" s="282" t="n">
        <x:f>S141-K141</x:f>
        <x:v>0</x:v>
      </x:c>
      <x:c r="U141" s="293" t="n">
        <x:f>IFERROR(T141/K141,0)</x:f>
        <x:v>0</x:v>
      </x:c>
      <x:c r="V141" s="282" t="n">
        <x:f>IF(F141="",0,IF(M141="",TODAY()-F141,M141-F141))</x:f>
        <x:v>0</x:v>
      </x:c>
      <x:c r="W141" s="223"/>
      <x:c r="X141" s="223"/>
      <x:c r="Y141" s="223"/>
      <x:c r="Z141" s="223"/>
    </x:row>
    <x:row r="142">
      <x:c r="A142" s="223"/>
      <x:c r="B142" s="223"/>
      <x:c r="C142" s="223"/>
      <x:c r="D142" s="223"/>
      <x:c r="E142" s="223"/>
      <x:c r="F142" s="292"/>
      <x:c r="G142" s="223"/>
      <x:c r="H142" s="282"/>
      <x:c r="I142" s="293" t="n">
        <x:f>IF(G142="",0,XLOOKUP(G142,'平台参数'!$A$5:$A$9,'平台参数'!$E$5:$E$9,0)+XLOOKUP(G142,'平台参数'!$A$5:$A$9,'平台参数'!$G$5:$G$9,0))</x:f>
        <x:v>0</x:v>
      </x:c>
      <x:c r="J142" s="282" t="n">
        <x:f>IF(G142="",0,XLOOKUP(G142,'平台参数'!$A$5:$A$9,'平台参数'!$H$5:$H$9,0))</x:f>
        <x:v>0</x:v>
      </x:c>
      <x:c r="K142" s="282" t="n">
        <x:f>IF(H142=0,0,H142*(1+I142)+J142)</x:f>
        <x:v>0</x:v>
      </x:c>
      <x:c r="L142" s="292"/>
      <x:c r="M142" s="292"/>
      <x:c r="N142" s="223"/>
      <x:c r="O142" s="282"/>
      <x:c r="P142" s="293" t="n">
        <x:f>IF(N142="",0,XLOOKUP(N142,'平台参数'!$A$5:$A$9,'平台参数'!$F$5:$F$9,0))</x:f>
        <x:v>0</x:v>
      </x:c>
      <x:c r="Q142" s="293" t="n">
        <x:f>IF(N142="",0,XLOOKUP(N142,'平台参数'!$A$5:$A$9,'平台参数'!$G$5:$G$9,0))</x:f>
        <x:v>0</x:v>
      </x:c>
      <x:c r="R142" s="282" t="n">
        <x:f>IF(N142="",0,XLOOKUP(N142,'平台参数'!$A$5:$A$9,'平台参数'!$I$5:$I$9,0))</x:f>
        <x:v>0</x:v>
      </x:c>
      <x:c r="S142" s="282" t="n">
        <x:f>IF(O142=0,0,O142*(1-P142-Q142)-R142)</x:f>
        <x:v>0</x:v>
      </x:c>
      <x:c r="T142" s="282" t="n">
        <x:f>S142-K142</x:f>
        <x:v>0</x:v>
      </x:c>
      <x:c r="U142" s="293" t="n">
        <x:f>IFERROR(T142/K142,0)</x:f>
        <x:v>0</x:v>
      </x:c>
      <x:c r="V142" s="282" t="n">
        <x:f>IF(F142="",0,IF(M142="",TODAY()-F142,M142-F142))</x:f>
        <x:v>0</x:v>
      </x:c>
      <x:c r="W142" s="223"/>
      <x:c r="X142" s="223"/>
      <x:c r="Y142" s="223"/>
      <x:c r="Z142" s="223"/>
    </x:row>
    <x:row r="143">
      <x:c r="A143" s="223"/>
      <x:c r="B143" s="223"/>
      <x:c r="C143" s="223"/>
      <x:c r="D143" s="223"/>
      <x:c r="E143" s="223"/>
      <x:c r="F143" s="292"/>
      <x:c r="G143" s="223"/>
      <x:c r="H143" s="282"/>
      <x:c r="I143" s="293" t="n">
        <x:f>IF(G143="",0,XLOOKUP(G143,'平台参数'!$A$5:$A$9,'平台参数'!$E$5:$E$9,0)+XLOOKUP(G143,'平台参数'!$A$5:$A$9,'平台参数'!$G$5:$G$9,0))</x:f>
        <x:v>0</x:v>
      </x:c>
      <x:c r="J143" s="282" t="n">
        <x:f>IF(G143="",0,XLOOKUP(G143,'平台参数'!$A$5:$A$9,'平台参数'!$H$5:$H$9,0))</x:f>
        <x:v>0</x:v>
      </x:c>
      <x:c r="K143" s="282" t="n">
        <x:f>IF(H143=0,0,H143*(1+I143)+J143)</x:f>
        <x:v>0</x:v>
      </x:c>
      <x:c r="L143" s="292"/>
      <x:c r="M143" s="292"/>
      <x:c r="N143" s="223"/>
      <x:c r="O143" s="282"/>
      <x:c r="P143" s="293" t="n">
        <x:f>IF(N143="",0,XLOOKUP(N143,'平台参数'!$A$5:$A$9,'平台参数'!$F$5:$F$9,0))</x:f>
        <x:v>0</x:v>
      </x:c>
      <x:c r="Q143" s="293" t="n">
        <x:f>IF(N143="",0,XLOOKUP(N143,'平台参数'!$A$5:$A$9,'平台参数'!$G$5:$G$9,0))</x:f>
        <x:v>0</x:v>
      </x:c>
      <x:c r="R143" s="282" t="n">
        <x:f>IF(N143="",0,XLOOKUP(N143,'平台参数'!$A$5:$A$9,'平台参数'!$I$5:$I$9,0))</x:f>
        <x:v>0</x:v>
      </x:c>
      <x:c r="S143" s="282" t="n">
        <x:f>IF(O143=0,0,O143*(1-P143-Q143)-R143)</x:f>
        <x:v>0</x:v>
      </x:c>
      <x:c r="T143" s="282" t="n">
        <x:f>S143-K143</x:f>
        <x:v>0</x:v>
      </x:c>
      <x:c r="U143" s="293" t="n">
        <x:f>IFERROR(T143/K143,0)</x:f>
        <x:v>0</x:v>
      </x:c>
      <x:c r="V143" s="282" t="n">
        <x:f>IF(F143="",0,IF(M143="",TODAY()-F143,M143-F143))</x:f>
        <x:v>0</x:v>
      </x:c>
      <x:c r="W143" s="223"/>
      <x:c r="X143" s="223"/>
      <x:c r="Y143" s="223"/>
      <x:c r="Z143" s="223"/>
    </x:row>
    <x:row r="144">
      <x:c r="A144" s="223"/>
      <x:c r="B144" s="223"/>
      <x:c r="C144" s="223"/>
      <x:c r="D144" s="223"/>
      <x:c r="E144" s="223"/>
      <x:c r="F144" s="292"/>
      <x:c r="G144" s="223"/>
      <x:c r="H144" s="282"/>
      <x:c r="I144" s="293" t="n">
        <x:f>IF(G144="",0,XLOOKUP(G144,'平台参数'!$A$5:$A$9,'平台参数'!$E$5:$E$9,0)+XLOOKUP(G144,'平台参数'!$A$5:$A$9,'平台参数'!$G$5:$G$9,0))</x:f>
        <x:v>0</x:v>
      </x:c>
      <x:c r="J144" s="282" t="n">
        <x:f>IF(G144="",0,XLOOKUP(G144,'平台参数'!$A$5:$A$9,'平台参数'!$H$5:$H$9,0))</x:f>
        <x:v>0</x:v>
      </x:c>
      <x:c r="K144" s="282" t="n">
        <x:f>IF(H144=0,0,H144*(1+I144)+J144)</x:f>
        <x:v>0</x:v>
      </x:c>
      <x:c r="L144" s="292"/>
      <x:c r="M144" s="292"/>
      <x:c r="N144" s="223"/>
      <x:c r="O144" s="282"/>
      <x:c r="P144" s="293" t="n">
        <x:f>IF(N144="",0,XLOOKUP(N144,'平台参数'!$A$5:$A$9,'平台参数'!$F$5:$F$9,0))</x:f>
        <x:v>0</x:v>
      </x:c>
      <x:c r="Q144" s="293" t="n">
        <x:f>IF(N144="",0,XLOOKUP(N144,'平台参数'!$A$5:$A$9,'平台参数'!$G$5:$G$9,0))</x:f>
        <x:v>0</x:v>
      </x:c>
      <x:c r="R144" s="282" t="n">
        <x:f>IF(N144="",0,XLOOKUP(N144,'平台参数'!$A$5:$A$9,'平台参数'!$I$5:$I$9,0))</x:f>
        <x:v>0</x:v>
      </x:c>
      <x:c r="S144" s="282" t="n">
        <x:f>IF(O144=0,0,O144*(1-P144-Q144)-R144)</x:f>
        <x:v>0</x:v>
      </x:c>
      <x:c r="T144" s="282" t="n">
        <x:f>S144-K144</x:f>
        <x:v>0</x:v>
      </x:c>
      <x:c r="U144" s="293" t="n">
        <x:f>IFERROR(T144/K144,0)</x:f>
        <x:v>0</x:v>
      </x:c>
      <x:c r="V144" s="282" t="n">
        <x:f>IF(F144="",0,IF(M144="",TODAY()-F144,M144-F144))</x:f>
        <x:v>0</x:v>
      </x:c>
      <x:c r="W144" s="223"/>
      <x:c r="X144" s="223"/>
      <x:c r="Y144" s="223"/>
      <x:c r="Z144" s="223"/>
    </x:row>
    <x:row r="145">
      <x:c r="A145" s="223"/>
      <x:c r="B145" s="223"/>
      <x:c r="C145" s="223"/>
      <x:c r="D145" s="223"/>
      <x:c r="E145" s="223"/>
      <x:c r="F145" s="292"/>
      <x:c r="G145" s="223"/>
      <x:c r="H145" s="282"/>
      <x:c r="I145" s="293" t="n">
        <x:f>IF(G145="",0,XLOOKUP(G145,'平台参数'!$A$5:$A$9,'平台参数'!$E$5:$E$9,0)+XLOOKUP(G145,'平台参数'!$A$5:$A$9,'平台参数'!$G$5:$G$9,0))</x:f>
        <x:v>0</x:v>
      </x:c>
      <x:c r="J145" s="282" t="n">
        <x:f>IF(G145="",0,XLOOKUP(G145,'平台参数'!$A$5:$A$9,'平台参数'!$H$5:$H$9,0))</x:f>
        <x:v>0</x:v>
      </x:c>
      <x:c r="K145" s="282" t="n">
        <x:f>IF(H145=0,0,H145*(1+I145)+J145)</x:f>
        <x:v>0</x:v>
      </x:c>
      <x:c r="L145" s="292"/>
      <x:c r="M145" s="292"/>
      <x:c r="N145" s="223"/>
      <x:c r="O145" s="282"/>
      <x:c r="P145" s="293" t="n">
        <x:f>IF(N145="",0,XLOOKUP(N145,'平台参数'!$A$5:$A$9,'平台参数'!$F$5:$F$9,0))</x:f>
        <x:v>0</x:v>
      </x:c>
      <x:c r="Q145" s="293" t="n">
        <x:f>IF(N145="",0,XLOOKUP(N145,'平台参数'!$A$5:$A$9,'平台参数'!$G$5:$G$9,0))</x:f>
        <x:v>0</x:v>
      </x:c>
      <x:c r="R145" s="282" t="n">
        <x:f>IF(N145="",0,XLOOKUP(N145,'平台参数'!$A$5:$A$9,'平台参数'!$I$5:$I$9,0))</x:f>
        <x:v>0</x:v>
      </x:c>
      <x:c r="S145" s="282" t="n">
        <x:f>IF(O145=0,0,O145*(1-P145-Q145)-R145)</x:f>
        <x:v>0</x:v>
      </x:c>
      <x:c r="T145" s="282" t="n">
        <x:f>S145-K145</x:f>
        <x:v>0</x:v>
      </x:c>
      <x:c r="U145" s="293" t="n">
        <x:f>IFERROR(T145/K145,0)</x:f>
        <x:v>0</x:v>
      </x:c>
      <x:c r="V145" s="282" t="n">
        <x:f>IF(F145="",0,IF(M145="",TODAY()-F145,M145-F145))</x:f>
        <x:v>0</x:v>
      </x:c>
      <x:c r="W145" s="223"/>
      <x:c r="X145" s="223"/>
      <x:c r="Y145" s="223"/>
      <x:c r="Z145" s="223"/>
    </x:row>
    <x:row r="146">
      <x:c r="A146" s="223"/>
      <x:c r="B146" s="223"/>
      <x:c r="C146" s="223"/>
      <x:c r="D146" s="223"/>
      <x:c r="E146" s="223"/>
      <x:c r="F146" s="292"/>
      <x:c r="G146" s="223"/>
      <x:c r="H146" s="282"/>
      <x:c r="I146" s="293" t="n">
        <x:f>IF(G146="",0,XLOOKUP(G146,'平台参数'!$A$5:$A$9,'平台参数'!$E$5:$E$9,0)+XLOOKUP(G146,'平台参数'!$A$5:$A$9,'平台参数'!$G$5:$G$9,0))</x:f>
        <x:v>0</x:v>
      </x:c>
      <x:c r="J146" s="282" t="n">
        <x:f>IF(G146="",0,XLOOKUP(G146,'平台参数'!$A$5:$A$9,'平台参数'!$H$5:$H$9,0))</x:f>
        <x:v>0</x:v>
      </x:c>
      <x:c r="K146" s="282" t="n">
        <x:f>IF(H146=0,0,H146*(1+I146)+J146)</x:f>
        <x:v>0</x:v>
      </x:c>
      <x:c r="L146" s="292"/>
      <x:c r="M146" s="292"/>
      <x:c r="N146" s="223"/>
      <x:c r="O146" s="282"/>
      <x:c r="P146" s="293" t="n">
        <x:f>IF(N146="",0,XLOOKUP(N146,'平台参数'!$A$5:$A$9,'平台参数'!$F$5:$F$9,0))</x:f>
        <x:v>0</x:v>
      </x:c>
      <x:c r="Q146" s="293" t="n">
        <x:f>IF(N146="",0,XLOOKUP(N146,'平台参数'!$A$5:$A$9,'平台参数'!$G$5:$G$9,0))</x:f>
        <x:v>0</x:v>
      </x:c>
      <x:c r="R146" s="282" t="n">
        <x:f>IF(N146="",0,XLOOKUP(N146,'平台参数'!$A$5:$A$9,'平台参数'!$I$5:$I$9,0))</x:f>
        <x:v>0</x:v>
      </x:c>
      <x:c r="S146" s="282" t="n">
        <x:f>IF(O146=0,0,O146*(1-P146-Q146)-R146)</x:f>
        <x:v>0</x:v>
      </x:c>
      <x:c r="T146" s="282" t="n">
        <x:f>S146-K146</x:f>
        <x:v>0</x:v>
      </x:c>
      <x:c r="U146" s="293" t="n">
        <x:f>IFERROR(T146/K146,0)</x:f>
        <x:v>0</x:v>
      </x:c>
      <x:c r="V146" s="282" t="n">
        <x:f>IF(F146="",0,IF(M146="",TODAY()-F146,M146-F146))</x:f>
        <x:v>0</x:v>
      </x:c>
      <x:c r="W146" s="223"/>
      <x:c r="X146" s="223"/>
      <x:c r="Y146" s="223"/>
      <x:c r="Z146" s="223"/>
    </x:row>
    <x:row r="147">
      <x:c r="A147" s="223"/>
      <x:c r="B147" s="223"/>
      <x:c r="C147" s="223"/>
      <x:c r="D147" s="223"/>
      <x:c r="E147" s="223"/>
      <x:c r="F147" s="292"/>
      <x:c r="G147" s="223"/>
      <x:c r="H147" s="282"/>
      <x:c r="I147" s="293" t="n">
        <x:f>IF(G147="",0,XLOOKUP(G147,'平台参数'!$A$5:$A$9,'平台参数'!$E$5:$E$9,0)+XLOOKUP(G147,'平台参数'!$A$5:$A$9,'平台参数'!$G$5:$G$9,0))</x:f>
        <x:v>0</x:v>
      </x:c>
      <x:c r="J147" s="282" t="n">
        <x:f>IF(G147="",0,XLOOKUP(G147,'平台参数'!$A$5:$A$9,'平台参数'!$H$5:$H$9,0))</x:f>
        <x:v>0</x:v>
      </x:c>
      <x:c r="K147" s="282" t="n">
        <x:f>IF(H147=0,0,H147*(1+I147)+J147)</x:f>
        <x:v>0</x:v>
      </x:c>
      <x:c r="L147" s="292"/>
      <x:c r="M147" s="292"/>
      <x:c r="N147" s="223"/>
      <x:c r="O147" s="282"/>
      <x:c r="P147" s="293" t="n">
        <x:f>IF(N147="",0,XLOOKUP(N147,'平台参数'!$A$5:$A$9,'平台参数'!$F$5:$F$9,0))</x:f>
        <x:v>0</x:v>
      </x:c>
      <x:c r="Q147" s="293" t="n">
        <x:f>IF(N147="",0,XLOOKUP(N147,'平台参数'!$A$5:$A$9,'平台参数'!$G$5:$G$9,0))</x:f>
        <x:v>0</x:v>
      </x:c>
      <x:c r="R147" s="282" t="n">
        <x:f>IF(N147="",0,XLOOKUP(N147,'平台参数'!$A$5:$A$9,'平台参数'!$I$5:$I$9,0))</x:f>
        <x:v>0</x:v>
      </x:c>
      <x:c r="S147" s="282" t="n">
        <x:f>IF(O147=0,0,O147*(1-P147-Q147)-R147)</x:f>
        <x:v>0</x:v>
      </x:c>
      <x:c r="T147" s="282" t="n">
        <x:f>S147-K147</x:f>
        <x:v>0</x:v>
      </x:c>
      <x:c r="U147" s="293" t="n">
        <x:f>IFERROR(T147/K147,0)</x:f>
        <x:v>0</x:v>
      </x:c>
      <x:c r="V147" s="282" t="n">
        <x:f>IF(F147="",0,IF(M147="",TODAY()-F147,M147-F147))</x:f>
        <x:v>0</x:v>
      </x:c>
      <x:c r="W147" s="223"/>
      <x:c r="X147" s="223"/>
      <x:c r="Y147" s="223"/>
      <x:c r="Z147" s="223"/>
    </x:row>
    <x:row r="148">
      <x:c r="A148" s="223"/>
      <x:c r="B148" s="223"/>
      <x:c r="C148" s="223"/>
      <x:c r="D148" s="223"/>
      <x:c r="E148" s="223"/>
      <x:c r="F148" s="292"/>
      <x:c r="G148" s="223"/>
      <x:c r="H148" s="282"/>
      <x:c r="I148" s="293" t="n">
        <x:f>IF(G148="",0,XLOOKUP(G148,'平台参数'!$A$5:$A$9,'平台参数'!$E$5:$E$9,0)+XLOOKUP(G148,'平台参数'!$A$5:$A$9,'平台参数'!$G$5:$G$9,0))</x:f>
        <x:v>0</x:v>
      </x:c>
      <x:c r="J148" s="282" t="n">
        <x:f>IF(G148="",0,XLOOKUP(G148,'平台参数'!$A$5:$A$9,'平台参数'!$H$5:$H$9,0))</x:f>
        <x:v>0</x:v>
      </x:c>
      <x:c r="K148" s="282" t="n">
        <x:f>IF(H148=0,0,H148*(1+I148)+J148)</x:f>
        <x:v>0</x:v>
      </x:c>
      <x:c r="L148" s="292"/>
      <x:c r="M148" s="292"/>
      <x:c r="N148" s="223"/>
      <x:c r="O148" s="282"/>
      <x:c r="P148" s="293" t="n">
        <x:f>IF(N148="",0,XLOOKUP(N148,'平台参数'!$A$5:$A$9,'平台参数'!$F$5:$F$9,0))</x:f>
        <x:v>0</x:v>
      </x:c>
      <x:c r="Q148" s="293" t="n">
        <x:f>IF(N148="",0,XLOOKUP(N148,'平台参数'!$A$5:$A$9,'平台参数'!$G$5:$G$9,0))</x:f>
        <x:v>0</x:v>
      </x:c>
      <x:c r="R148" s="282" t="n">
        <x:f>IF(N148="",0,XLOOKUP(N148,'平台参数'!$A$5:$A$9,'平台参数'!$I$5:$I$9,0))</x:f>
        <x:v>0</x:v>
      </x:c>
      <x:c r="S148" s="282" t="n">
        <x:f>IF(O148=0,0,O148*(1-P148-Q148)-R148)</x:f>
        <x:v>0</x:v>
      </x:c>
      <x:c r="T148" s="282" t="n">
        <x:f>S148-K148</x:f>
        <x:v>0</x:v>
      </x:c>
      <x:c r="U148" s="293" t="n">
        <x:f>IFERROR(T148/K148,0)</x:f>
        <x:v>0</x:v>
      </x:c>
      <x:c r="V148" s="282" t="n">
        <x:f>IF(F148="",0,IF(M148="",TODAY()-F148,M148-F148))</x:f>
        <x:v>0</x:v>
      </x:c>
      <x:c r="W148" s="223"/>
      <x:c r="X148" s="223"/>
      <x:c r="Y148" s="223"/>
      <x:c r="Z148" s="223"/>
    </x:row>
    <x:row r="149">
      <x:c r="A149" s="223"/>
      <x:c r="B149" s="223"/>
      <x:c r="C149" s="223"/>
      <x:c r="D149" s="223"/>
      <x:c r="E149" s="223"/>
      <x:c r="F149" s="292"/>
      <x:c r="G149" s="223"/>
      <x:c r="H149" s="282"/>
      <x:c r="I149" s="293" t="n">
        <x:f>IF(G149="",0,XLOOKUP(G149,'平台参数'!$A$5:$A$9,'平台参数'!$E$5:$E$9,0)+XLOOKUP(G149,'平台参数'!$A$5:$A$9,'平台参数'!$G$5:$G$9,0))</x:f>
        <x:v>0</x:v>
      </x:c>
      <x:c r="J149" s="282" t="n">
        <x:f>IF(G149="",0,XLOOKUP(G149,'平台参数'!$A$5:$A$9,'平台参数'!$H$5:$H$9,0))</x:f>
        <x:v>0</x:v>
      </x:c>
      <x:c r="K149" s="282" t="n">
        <x:f>IF(H149=0,0,H149*(1+I149)+J149)</x:f>
        <x:v>0</x:v>
      </x:c>
      <x:c r="L149" s="292"/>
      <x:c r="M149" s="292"/>
      <x:c r="N149" s="223"/>
      <x:c r="O149" s="282"/>
      <x:c r="P149" s="293" t="n">
        <x:f>IF(N149="",0,XLOOKUP(N149,'平台参数'!$A$5:$A$9,'平台参数'!$F$5:$F$9,0))</x:f>
        <x:v>0</x:v>
      </x:c>
      <x:c r="Q149" s="293" t="n">
        <x:f>IF(N149="",0,XLOOKUP(N149,'平台参数'!$A$5:$A$9,'平台参数'!$G$5:$G$9,0))</x:f>
        <x:v>0</x:v>
      </x:c>
      <x:c r="R149" s="282" t="n">
        <x:f>IF(N149="",0,XLOOKUP(N149,'平台参数'!$A$5:$A$9,'平台参数'!$I$5:$I$9,0))</x:f>
        <x:v>0</x:v>
      </x:c>
      <x:c r="S149" s="282" t="n">
        <x:f>IF(O149=0,0,O149*(1-P149-Q149)-R149)</x:f>
        <x:v>0</x:v>
      </x:c>
      <x:c r="T149" s="282" t="n">
        <x:f>S149-K149</x:f>
        <x:v>0</x:v>
      </x:c>
      <x:c r="U149" s="293" t="n">
        <x:f>IFERROR(T149/K149,0)</x:f>
        <x:v>0</x:v>
      </x:c>
      <x:c r="V149" s="282" t="n">
        <x:f>IF(F149="",0,IF(M149="",TODAY()-F149,M149-F149))</x:f>
        <x:v>0</x:v>
      </x:c>
      <x:c r="W149" s="223"/>
      <x:c r="X149" s="223"/>
      <x:c r="Y149" s="223"/>
      <x:c r="Z149" s="223"/>
    </x:row>
    <x:row r="150">
      <x:c r="A150" s="223"/>
      <x:c r="B150" s="223"/>
      <x:c r="C150" s="223"/>
      <x:c r="D150" s="223"/>
      <x:c r="E150" s="223"/>
      <x:c r="F150" s="292"/>
      <x:c r="G150" s="223"/>
      <x:c r="H150" s="282"/>
      <x:c r="I150" s="293" t="n">
        <x:f>IF(G150="",0,XLOOKUP(G150,'平台参数'!$A$5:$A$9,'平台参数'!$E$5:$E$9,0)+XLOOKUP(G150,'平台参数'!$A$5:$A$9,'平台参数'!$G$5:$G$9,0))</x:f>
        <x:v>0</x:v>
      </x:c>
      <x:c r="J150" s="282" t="n">
        <x:f>IF(G150="",0,XLOOKUP(G150,'平台参数'!$A$5:$A$9,'平台参数'!$H$5:$H$9,0))</x:f>
        <x:v>0</x:v>
      </x:c>
      <x:c r="K150" s="282" t="n">
        <x:f>IF(H150=0,0,H150*(1+I150)+J150)</x:f>
        <x:v>0</x:v>
      </x:c>
      <x:c r="L150" s="292"/>
      <x:c r="M150" s="292"/>
      <x:c r="N150" s="223"/>
      <x:c r="O150" s="282"/>
      <x:c r="P150" s="293" t="n">
        <x:f>IF(N150="",0,XLOOKUP(N150,'平台参数'!$A$5:$A$9,'平台参数'!$F$5:$F$9,0))</x:f>
        <x:v>0</x:v>
      </x:c>
      <x:c r="Q150" s="293" t="n">
        <x:f>IF(N150="",0,XLOOKUP(N150,'平台参数'!$A$5:$A$9,'平台参数'!$G$5:$G$9,0))</x:f>
        <x:v>0</x:v>
      </x:c>
      <x:c r="R150" s="282" t="n">
        <x:f>IF(N150="",0,XLOOKUP(N150,'平台参数'!$A$5:$A$9,'平台参数'!$I$5:$I$9,0))</x:f>
        <x:v>0</x:v>
      </x:c>
      <x:c r="S150" s="282" t="n">
        <x:f>IF(O150=0,0,O150*(1-P150-Q150)-R150)</x:f>
        <x:v>0</x:v>
      </x:c>
      <x:c r="T150" s="282" t="n">
        <x:f>S150-K150</x:f>
        <x:v>0</x:v>
      </x:c>
      <x:c r="U150" s="293" t="n">
        <x:f>IFERROR(T150/K150,0)</x:f>
        <x:v>0</x:v>
      </x:c>
      <x:c r="V150" s="282" t="n">
        <x:f>IF(F150="",0,IF(M150="",TODAY()-F150,M150-F150))</x:f>
        <x:v>0</x:v>
      </x:c>
      <x:c r="W150" s="223"/>
      <x:c r="X150" s="223"/>
      <x:c r="Y150" s="223"/>
      <x:c r="Z150" s="223"/>
    </x:row>
    <x:row r="151">
      <x:c r="A151" s="223"/>
      <x:c r="B151" s="223"/>
      <x:c r="C151" s="223"/>
      <x:c r="D151" s="223"/>
      <x:c r="E151" s="223"/>
      <x:c r="F151" s="292"/>
      <x:c r="G151" s="223"/>
      <x:c r="H151" s="282"/>
      <x:c r="I151" s="293" t="n">
        <x:f>IF(G151="",0,XLOOKUP(G151,'平台参数'!$A$5:$A$9,'平台参数'!$E$5:$E$9,0)+XLOOKUP(G151,'平台参数'!$A$5:$A$9,'平台参数'!$G$5:$G$9,0))</x:f>
        <x:v>0</x:v>
      </x:c>
      <x:c r="J151" s="282" t="n">
        <x:f>IF(G151="",0,XLOOKUP(G151,'平台参数'!$A$5:$A$9,'平台参数'!$H$5:$H$9,0))</x:f>
        <x:v>0</x:v>
      </x:c>
      <x:c r="K151" s="282" t="n">
        <x:f>IF(H151=0,0,H151*(1+I151)+J151)</x:f>
        <x:v>0</x:v>
      </x:c>
      <x:c r="L151" s="292"/>
      <x:c r="M151" s="292"/>
      <x:c r="N151" s="223"/>
      <x:c r="O151" s="282"/>
      <x:c r="P151" s="293" t="n">
        <x:f>IF(N151="",0,XLOOKUP(N151,'平台参数'!$A$5:$A$9,'平台参数'!$F$5:$F$9,0))</x:f>
        <x:v>0</x:v>
      </x:c>
      <x:c r="Q151" s="293" t="n">
        <x:f>IF(N151="",0,XLOOKUP(N151,'平台参数'!$A$5:$A$9,'平台参数'!$G$5:$G$9,0))</x:f>
        <x:v>0</x:v>
      </x:c>
      <x:c r="R151" s="282" t="n">
        <x:f>IF(N151="",0,XLOOKUP(N151,'平台参数'!$A$5:$A$9,'平台参数'!$I$5:$I$9,0))</x:f>
        <x:v>0</x:v>
      </x:c>
      <x:c r="S151" s="282" t="n">
        <x:f>IF(O151=0,0,O151*(1-P151-Q151)-R151)</x:f>
        <x:v>0</x:v>
      </x:c>
      <x:c r="T151" s="282" t="n">
        <x:f>S151-K151</x:f>
        <x:v>0</x:v>
      </x:c>
      <x:c r="U151" s="293" t="n">
        <x:f>IFERROR(T151/K151,0)</x:f>
        <x:v>0</x:v>
      </x:c>
      <x:c r="V151" s="282" t="n">
        <x:f>IF(F151="",0,IF(M151="",TODAY()-F151,M151-F151))</x:f>
        <x:v>0</x:v>
      </x:c>
      <x:c r="W151" s="223"/>
      <x:c r="X151" s="223"/>
      <x:c r="Y151" s="223"/>
      <x:c r="Z151" s="223"/>
    </x:row>
    <x:row r="152">
      <x:c r="A152" s="223"/>
      <x:c r="B152" s="223"/>
      <x:c r="C152" s="223"/>
      <x:c r="D152" s="223"/>
      <x:c r="E152" s="223"/>
      <x:c r="F152" s="292"/>
      <x:c r="G152" s="223"/>
      <x:c r="H152" s="282"/>
      <x:c r="I152" s="293" t="n">
        <x:f>IF(G152="",0,XLOOKUP(G152,'平台参数'!$A$5:$A$9,'平台参数'!$E$5:$E$9,0)+XLOOKUP(G152,'平台参数'!$A$5:$A$9,'平台参数'!$G$5:$G$9,0))</x:f>
        <x:v>0</x:v>
      </x:c>
      <x:c r="J152" s="282" t="n">
        <x:f>IF(G152="",0,XLOOKUP(G152,'平台参数'!$A$5:$A$9,'平台参数'!$H$5:$H$9,0))</x:f>
        <x:v>0</x:v>
      </x:c>
      <x:c r="K152" s="282" t="n">
        <x:f>IF(H152=0,0,H152*(1+I152)+J152)</x:f>
        <x:v>0</x:v>
      </x:c>
      <x:c r="L152" s="292"/>
      <x:c r="M152" s="292"/>
      <x:c r="N152" s="223"/>
      <x:c r="O152" s="282"/>
      <x:c r="P152" s="293" t="n">
        <x:f>IF(N152="",0,XLOOKUP(N152,'平台参数'!$A$5:$A$9,'平台参数'!$F$5:$F$9,0))</x:f>
        <x:v>0</x:v>
      </x:c>
      <x:c r="Q152" s="293" t="n">
        <x:f>IF(N152="",0,XLOOKUP(N152,'平台参数'!$A$5:$A$9,'平台参数'!$G$5:$G$9,0))</x:f>
        <x:v>0</x:v>
      </x:c>
      <x:c r="R152" s="282" t="n">
        <x:f>IF(N152="",0,XLOOKUP(N152,'平台参数'!$A$5:$A$9,'平台参数'!$I$5:$I$9,0))</x:f>
        <x:v>0</x:v>
      </x:c>
      <x:c r="S152" s="282" t="n">
        <x:f>IF(O152=0,0,O152*(1-P152-Q152)-R152)</x:f>
        <x:v>0</x:v>
      </x:c>
      <x:c r="T152" s="282" t="n">
        <x:f>S152-K152</x:f>
        <x:v>0</x:v>
      </x:c>
      <x:c r="U152" s="293" t="n">
        <x:f>IFERROR(T152/K152,0)</x:f>
        <x:v>0</x:v>
      </x:c>
      <x:c r="V152" s="282" t="n">
        <x:f>IF(F152="",0,IF(M152="",TODAY()-F152,M152-F152))</x:f>
        <x:v>0</x:v>
      </x:c>
      <x:c r="W152" s="223"/>
      <x:c r="X152" s="223"/>
      <x:c r="Y152" s="223"/>
      <x:c r="Z152" s="223"/>
    </x:row>
    <x:row r="153">
      <x:c r="A153" s="223"/>
      <x:c r="B153" s="223"/>
      <x:c r="C153" s="223"/>
      <x:c r="D153" s="223"/>
      <x:c r="E153" s="223"/>
      <x:c r="F153" s="292"/>
      <x:c r="G153" s="223"/>
      <x:c r="H153" s="282"/>
      <x:c r="I153" s="293" t="n">
        <x:f>IF(G153="",0,XLOOKUP(G153,'平台参数'!$A$5:$A$9,'平台参数'!$E$5:$E$9,0)+XLOOKUP(G153,'平台参数'!$A$5:$A$9,'平台参数'!$G$5:$G$9,0))</x:f>
        <x:v>0</x:v>
      </x:c>
      <x:c r="J153" s="282" t="n">
        <x:f>IF(G153="",0,XLOOKUP(G153,'平台参数'!$A$5:$A$9,'平台参数'!$H$5:$H$9,0))</x:f>
        <x:v>0</x:v>
      </x:c>
      <x:c r="K153" s="282" t="n">
        <x:f>IF(H153=0,0,H153*(1+I153)+J153)</x:f>
        <x:v>0</x:v>
      </x:c>
      <x:c r="L153" s="292"/>
      <x:c r="M153" s="292"/>
      <x:c r="N153" s="223"/>
      <x:c r="O153" s="282"/>
      <x:c r="P153" s="293" t="n">
        <x:f>IF(N153="",0,XLOOKUP(N153,'平台参数'!$A$5:$A$9,'平台参数'!$F$5:$F$9,0))</x:f>
        <x:v>0</x:v>
      </x:c>
      <x:c r="Q153" s="293" t="n">
        <x:f>IF(N153="",0,XLOOKUP(N153,'平台参数'!$A$5:$A$9,'平台参数'!$G$5:$G$9,0))</x:f>
        <x:v>0</x:v>
      </x:c>
      <x:c r="R153" s="282" t="n">
        <x:f>IF(N153="",0,XLOOKUP(N153,'平台参数'!$A$5:$A$9,'平台参数'!$I$5:$I$9,0))</x:f>
        <x:v>0</x:v>
      </x:c>
      <x:c r="S153" s="282" t="n">
        <x:f>IF(O153=0,0,O153*(1-P153-Q153)-R153)</x:f>
        <x:v>0</x:v>
      </x:c>
      <x:c r="T153" s="282" t="n">
        <x:f>S153-K153</x:f>
        <x:v>0</x:v>
      </x:c>
      <x:c r="U153" s="293" t="n">
        <x:f>IFERROR(T153/K153,0)</x:f>
        <x:v>0</x:v>
      </x:c>
      <x:c r="V153" s="282" t="n">
        <x:f>IF(F153="",0,IF(M153="",TODAY()-F153,M153-F153))</x:f>
        <x:v>0</x:v>
      </x:c>
      <x:c r="W153" s="223"/>
      <x:c r="X153" s="223"/>
      <x:c r="Y153" s="223"/>
      <x:c r="Z153" s="223"/>
    </x:row>
    <x:row r="154">
      <x:c r="A154" s="223"/>
      <x:c r="B154" s="223"/>
      <x:c r="C154" s="223"/>
      <x:c r="D154" s="223"/>
      <x:c r="E154" s="223"/>
      <x:c r="F154" s="292"/>
      <x:c r="G154" s="223"/>
      <x:c r="H154" s="282"/>
      <x:c r="I154" s="293" t="n">
        <x:f>IF(G154="",0,XLOOKUP(G154,'平台参数'!$A$5:$A$9,'平台参数'!$E$5:$E$9,0)+XLOOKUP(G154,'平台参数'!$A$5:$A$9,'平台参数'!$G$5:$G$9,0))</x:f>
        <x:v>0</x:v>
      </x:c>
      <x:c r="J154" s="282" t="n">
        <x:f>IF(G154="",0,XLOOKUP(G154,'平台参数'!$A$5:$A$9,'平台参数'!$H$5:$H$9,0))</x:f>
        <x:v>0</x:v>
      </x:c>
      <x:c r="K154" s="282" t="n">
        <x:f>IF(H154=0,0,H154*(1+I154)+J154)</x:f>
        <x:v>0</x:v>
      </x:c>
      <x:c r="L154" s="292"/>
      <x:c r="M154" s="292"/>
      <x:c r="N154" s="223"/>
      <x:c r="O154" s="282"/>
      <x:c r="P154" s="293" t="n">
        <x:f>IF(N154="",0,XLOOKUP(N154,'平台参数'!$A$5:$A$9,'平台参数'!$F$5:$F$9,0))</x:f>
        <x:v>0</x:v>
      </x:c>
      <x:c r="Q154" s="293" t="n">
        <x:f>IF(N154="",0,XLOOKUP(N154,'平台参数'!$A$5:$A$9,'平台参数'!$G$5:$G$9,0))</x:f>
        <x:v>0</x:v>
      </x:c>
      <x:c r="R154" s="282" t="n">
        <x:f>IF(N154="",0,XLOOKUP(N154,'平台参数'!$A$5:$A$9,'平台参数'!$I$5:$I$9,0))</x:f>
        <x:v>0</x:v>
      </x:c>
      <x:c r="S154" s="282" t="n">
        <x:f>IF(O154=0,0,O154*(1-P154-Q154)-R154)</x:f>
        <x:v>0</x:v>
      </x:c>
      <x:c r="T154" s="282" t="n">
        <x:f>S154-K154</x:f>
        <x:v>0</x:v>
      </x:c>
      <x:c r="U154" s="293" t="n">
        <x:f>IFERROR(T154/K154,0)</x:f>
        <x:v>0</x:v>
      </x:c>
      <x:c r="V154" s="282" t="n">
        <x:f>IF(F154="",0,IF(M154="",TODAY()-F154,M154-F154))</x:f>
        <x:v>0</x:v>
      </x:c>
      <x:c r="W154" s="223"/>
      <x:c r="X154" s="223"/>
      <x:c r="Y154" s="223"/>
      <x:c r="Z154" s="223"/>
    </x:row>
    <x:row r="155">
      <x:c r="A155" s="223"/>
      <x:c r="B155" s="223"/>
      <x:c r="C155" s="223"/>
      <x:c r="D155" s="223"/>
      <x:c r="E155" s="223"/>
      <x:c r="F155" s="292"/>
      <x:c r="G155" s="223"/>
      <x:c r="H155" s="282"/>
      <x:c r="I155" s="293" t="n">
        <x:f>IF(G155="",0,XLOOKUP(G155,'平台参数'!$A$5:$A$9,'平台参数'!$E$5:$E$9,0)+XLOOKUP(G155,'平台参数'!$A$5:$A$9,'平台参数'!$G$5:$G$9,0))</x:f>
        <x:v>0</x:v>
      </x:c>
      <x:c r="J155" s="282" t="n">
        <x:f>IF(G155="",0,XLOOKUP(G155,'平台参数'!$A$5:$A$9,'平台参数'!$H$5:$H$9,0))</x:f>
        <x:v>0</x:v>
      </x:c>
      <x:c r="K155" s="282" t="n">
        <x:f>IF(H155=0,0,H155*(1+I155)+J155)</x:f>
        <x:v>0</x:v>
      </x:c>
      <x:c r="L155" s="292"/>
      <x:c r="M155" s="292"/>
      <x:c r="N155" s="223"/>
      <x:c r="O155" s="282"/>
      <x:c r="P155" s="293" t="n">
        <x:f>IF(N155="",0,XLOOKUP(N155,'平台参数'!$A$5:$A$9,'平台参数'!$F$5:$F$9,0))</x:f>
        <x:v>0</x:v>
      </x:c>
      <x:c r="Q155" s="293" t="n">
        <x:f>IF(N155="",0,XLOOKUP(N155,'平台参数'!$A$5:$A$9,'平台参数'!$G$5:$G$9,0))</x:f>
        <x:v>0</x:v>
      </x:c>
      <x:c r="R155" s="282" t="n">
        <x:f>IF(N155="",0,XLOOKUP(N155,'平台参数'!$A$5:$A$9,'平台参数'!$I$5:$I$9,0))</x:f>
        <x:v>0</x:v>
      </x:c>
      <x:c r="S155" s="282" t="n">
        <x:f>IF(O155=0,0,O155*(1-P155-Q155)-R155)</x:f>
        <x:v>0</x:v>
      </x:c>
      <x:c r="T155" s="282" t="n">
        <x:f>S155-K155</x:f>
        <x:v>0</x:v>
      </x:c>
      <x:c r="U155" s="293" t="n">
        <x:f>IFERROR(T155/K155,0)</x:f>
        <x:v>0</x:v>
      </x:c>
      <x:c r="V155" s="282" t="n">
        <x:f>IF(F155="",0,IF(M155="",TODAY()-F155,M155-F155))</x:f>
        <x:v>0</x:v>
      </x:c>
      <x:c r="W155" s="223"/>
      <x:c r="X155" s="223"/>
      <x:c r="Y155" s="223"/>
      <x:c r="Z155" s="223"/>
    </x:row>
    <x:row r="156">
      <x:c r="A156" s="223"/>
      <x:c r="B156" s="223"/>
      <x:c r="C156" s="223"/>
      <x:c r="D156" s="223"/>
      <x:c r="E156" s="223"/>
      <x:c r="F156" s="292"/>
      <x:c r="G156" s="223"/>
      <x:c r="H156" s="282"/>
      <x:c r="I156" s="293" t="n">
        <x:f>IF(G156="",0,XLOOKUP(G156,'平台参数'!$A$5:$A$9,'平台参数'!$E$5:$E$9,0)+XLOOKUP(G156,'平台参数'!$A$5:$A$9,'平台参数'!$G$5:$G$9,0))</x:f>
        <x:v>0</x:v>
      </x:c>
      <x:c r="J156" s="282" t="n">
        <x:f>IF(G156="",0,XLOOKUP(G156,'平台参数'!$A$5:$A$9,'平台参数'!$H$5:$H$9,0))</x:f>
        <x:v>0</x:v>
      </x:c>
      <x:c r="K156" s="282" t="n">
        <x:f>IF(H156=0,0,H156*(1+I156)+J156)</x:f>
        <x:v>0</x:v>
      </x:c>
      <x:c r="L156" s="292"/>
      <x:c r="M156" s="292"/>
      <x:c r="N156" s="223"/>
      <x:c r="O156" s="282"/>
      <x:c r="P156" s="293" t="n">
        <x:f>IF(N156="",0,XLOOKUP(N156,'平台参数'!$A$5:$A$9,'平台参数'!$F$5:$F$9,0))</x:f>
        <x:v>0</x:v>
      </x:c>
      <x:c r="Q156" s="293" t="n">
        <x:f>IF(N156="",0,XLOOKUP(N156,'平台参数'!$A$5:$A$9,'平台参数'!$G$5:$G$9,0))</x:f>
        <x:v>0</x:v>
      </x:c>
      <x:c r="R156" s="282" t="n">
        <x:f>IF(N156="",0,XLOOKUP(N156,'平台参数'!$A$5:$A$9,'平台参数'!$I$5:$I$9,0))</x:f>
        <x:v>0</x:v>
      </x:c>
      <x:c r="S156" s="282" t="n">
        <x:f>IF(O156=0,0,O156*(1-P156-Q156)-R156)</x:f>
        <x:v>0</x:v>
      </x:c>
      <x:c r="T156" s="282" t="n">
        <x:f>S156-K156</x:f>
        <x:v>0</x:v>
      </x:c>
      <x:c r="U156" s="293" t="n">
        <x:f>IFERROR(T156/K156,0)</x:f>
        <x:v>0</x:v>
      </x:c>
      <x:c r="V156" s="282" t="n">
        <x:f>IF(F156="",0,IF(M156="",TODAY()-F156,M156-F156))</x:f>
        <x:v>0</x:v>
      </x:c>
      <x:c r="W156" s="223"/>
      <x:c r="X156" s="223"/>
      <x:c r="Y156" s="223"/>
      <x:c r="Z156" s="223"/>
    </x:row>
    <x:row r="157">
      <x:c r="A157" s="223"/>
      <x:c r="B157" s="223"/>
      <x:c r="C157" s="223"/>
      <x:c r="D157" s="223"/>
      <x:c r="E157" s="223"/>
      <x:c r="F157" s="292"/>
      <x:c r="G157" s="223"/>
      <x:c r="H157" s="282"/>
      <x:c r="I157" s="293" t="n">
        <x:f>IF(G157="",0,XLOOKUP(G157,'平台参数'!$A$5:$A$9,'平台参数'!$E$5:$E$9,0)+XLOOKUP(G157,'平台参数'!$A$5:$A$9,'平台参数'!$G$5:$G$9,0))</x:f>
        <x:v>0</x:v>
      </x:c>
      <x:c r="J157" s="282" t="n">
        <x:f>IF(G157="",0,XLOOKUP(G157,'平台参数'!$A$5:$A$9,'平台参数'!$H$5:$H$9,0))</x:f>
        <x:v>0</x:v>
      </x:c>
      <x:c r="K157" s="282" t="n">
        <x:f>IF(H157=0,0,H157*(1+I157)+J157)</x:f>
        <x:v>0</x:v>
      </x:c>
      <x:c r="L157" s="292"/>
      <x:c r="M157" s="292"/>
      <x:c r="N157" s="223"/>
      <x:c r="O157" s="282"/>
      <x:c r="P157" s="293" t="n">
        <x:f>IF(N157="",0,XLOOKUP(N157,'平台参数'!$A$5:$A$9,'平台参数'!$F$5:$F$9,0))</x:f>
        <x:v>0</x:v>
      </x:c>
      <x:c r="Q157" s="293" t="n">
        <x:f>IF(N157="",0,XLOOKUP(N157,'平台参数'!$A$5:$A$9,'平台参数'!$G$5:$G$9,0))</x:f>
        <x:v>0</x:v>
      </x:c>
      <x:c r="R157" s="282" t="n">
        <x:f>IF(N157="",0,XLOOKUP(N157,'平台参数'!$A$5:$A$9,'平台参数'!$I$5:$I$9,0))</x:f>
        <x:v>0</x:v>
      </x:c>
      <x:c r="S157" s="282" t="n">
        <x:f>IF(O157=0,0,O157*(1-P157-Q157)-R157)</x:f>
        <x:v>0</x:v>
      </x:c>
      <x:c r="T157" s="282" t="n">
        <x:f>S157-K157</x:f>
        <x:v>0</x:v>
      </x:c>
      <x:c r="U157" s="293" t="n">
        <x:f>IFERROR(T157/K157,0)</x:f>
        <x:v>0</x:v>
      </x:c>
      <x:c r="V157" s="282" t="n">
        <x:f>IF(F157="",0,IF(M157="",TODAY()-F157,M157-F157))</x:f>
        <x:v>0</x:v>
      </x:c>
      <x:c r="W157" s="223"/>
      <x:c r="X157" s="223"/>
      <x:c r="Y157" s="223"/>
      <x:c r="Z157" s="223"/>
    </x:row>
    <x:row r="158">
      <x:c r="A158" s="223"/>
      <x:c r="B158" s="223"/>
      <x:c r="C158" s="223"/>
      <x:c r="D158" s="223"/>
      <x:c r="E158" s="223"/>
      <x:c r="F158" s="292"/>
      <x:c r="G158" s="223"/>
      <x:c r="H158" s="282"/>
      <x:c r="I158" s="293" t="n">
        <x:f>IF(G158="",0,XLOOKUP(G158,'平台参数'!$A$5:$A$9,'平台参数'!$E$5:$E$9,0)+XLOOKUP(G158,'平台参数'!$A$5:$A$9,'平台参数'!$G$5:$G$9,0))</x:f>
        <x:v>0</x:v>
      </x:c>
      <x:c r="J158" s="282" t="n">
        <x:f>IF(G158="",0,XLOOKUP(G158,'平台参数'!$A$5:$A$9,'平台参数'!$H$5:$H$9,0))</x:f>
        <x:v>0</x:v>
      </x:c>
      <x:c r="K158" s="282" t="n">
        <x:f>IF(H158=0,0,H158*(1+I158)+J158)</x:f>
        <x:v>0</x:v>
      </x:c>
      <x:c r="L158" s="292"/>
      <x:c r="M158" s="292"/>
      <x:c r="N158" s="223"/>
      <x:c r="O158" s="282"/>
      <x:c r="P158" s="293" t="n">
        <x:f>IF(N158="",0,XLOOKUP(N158,'平台参数'!$A$5:$A$9,'平台参数'!$F$5:$F$9,0))</x:f>
        <x:v>0</x:v>
      </x:c>
      <x:c r="Q158" s="293" t="n">
        <x:f>IF(N158="",0,XLOOKUP(N158,'平台参数'!$A$5:$A$9,'平台参数'!$G$5:$G$9,0))</x:f>
        <x:v>0</x:v>
      </x:c>
      <x:c r="R158" s="282" t="n">
        <x:f>IF(N158="",0,XLOOKUP(N158,'平台参数'!$A$5:$A$9,'平台参数'!$I$5:$I$9,0))</x:f>
        <x:v>0</x:v>
      </x:c>
      <x:c r="S158" s="282" t="n">
        <x:f>IF(O158=0,0,O158*(1-P158-Q158)-R158)</x:f>
        <x:v>0</x:v>
      </x:c>
      <x:c r="T158" s="282" t="n">
        <x:f>S158-K158</x:f>
        <x:v>0</x:v>
      </x:c>
      <x:c r="U158" s="293" t="n">
        <x:f>IFERROR(T158/K158,0)</x:f>
        <x:v>0</x:v>
      </x:c>
      <x:c r="V158" s="282" t="n">
        <x:f>IF(F158="",0,IF(M158="",TODAY()-F158,M158-F158))</x:f>
        <x:v>0</x:v>
      </x:c>
      <x:c r="W158" s="223"/>
      <x:c r="X158" s="223"/>
      <x:c r="Y158" s="223"/>
      <x:c r="Z158" s="223"/>
    </x:row>
    <x:row r="159">
      <x:c r="A159" s="223"/>
      <x:c r="B159" s="223"/>
      <x:c r="C159" s="223"/>
      <x:c r="D159" s="223"/>
      <x:c r="E159" s="223"/>
      <x:c r="F159" s="292"/>
      <x:c r="G159" s="223"/>
      <x:c r="H159" s="282"/>
      <x:c r="I159" s="293" t="n">
        <x:f>IF(G159="",0,XLOOKUP(G159,'平台参数'!$A$5:$A$9,'平台参数'!$E$5:$E$9,0)+XLOOKUP(G159,'平台参数'!$A$5:$A$9,'平台参数'!$G$5:$G$9,0))</x:f>
        <x:v>0</x:v>
      </x:c>
      <x:c r="J159" s="282" t="n">
        <x:f>IF(G159="",0,XLOOKUP(G159,'平台参数'!$A$5:$A$9,'平台参数'!$H$5:$H$9,0))</x:f>
        <x:v>0</x:v>
      </x:c>
      <x:c r="K159" s="282" t="n">
        <x:f>IF(H159=0,0,H159*(1+I159)+J159)</x:f>
        <x:v>0</x:v>
      </x:c>
      <x:c r="L159" s="292"/>
      <x:c r="M159" s="292"/>
      <x:c r="N159" s="223"/>
      <x:c r="O159" s="282"/>
      <x:c r="P159" s="293" t="n">
        <x:f>IF(N159="",0,XLOOKUP(N159,'平台参数'!$A$5:$A$9,'平台参数'!$F$5:$F$9,0))</x:f>
        <x:v>0</x:v>
      </x:c>
      <x:c r="Q159" s="293" t="n">
        <x:f>IF(N159="",0,XLOOKUP(N159,'平台参数'!$A$5:$A$9,'平台参数'!$G$5:$G$9,0))</x:f>
        <x:v>0</x:v>
      </x:c>
      <x:c r="R159" s="282" t="n">
        <x:f>IF(N159="",0,XLOOKUP(N159,'平台参数'!$A$5:$A$9,'平台参数'!$I$5:$I$9,0))</x:f>
        <x:v>0</x:v>
      </x:c>
      <x:c r="S159" s="282" t="n">
        <x:f>IF(O159=0,0,O159*(1-P159-Q159)-R159)</x:f>
        <x:v>0</x:v>
      </x:c>
      <x:c r="T159" s="282" t="n">
        <x:f>S159-K159</x:f>
        <x:v>0</x:v>
      </x:c>
      <x:c r="U159" s="293" t="n">
        <x:f>IFERROR(T159/K159,0)</x:f>
        <x:v>0</x:v>
      </x:c>
      <x:c r="V159" s="282" t="n">
        <x:f>IF(F159="",0,IF(M159="",TODAY()-F159,M159-F159))</x:f>
        <x:v>0</x:v>
      </x:c>
      <x:c r="W159" s="223"/>
      <x:c r="X159" s="223"/>
      <x:c r="Y159" s="223"/>
      <x:c r="Z159" s="223"/>
    </x:row>
    <x:row r="160">
      <x:c r="A160" s="223"/>
      <x:c r="B160" s="223"/>
      <x:c r="C160" s="223"/>
      <x:c r="D160" s="223"/>
      <x:c r="E160" s="223"/>
      <x:c r="F160" s="292"/>
      <x:c r="G160" s="223"/>
      <x:c r="H160" s="282"/>
      <x:c r="I160" s="293" t="n">
        <x:f>IF(G160="",0,XLOOKUP(G160,'平台参数'!$A$5:$A$9,'平台参数'!$E$5:$E$9,0)+XLOOKUP(G160,'平台参数'!$A$5:$A$9,'平台参数'!$G$5:$G$9,0))</x:f>
        <x:v>0</x:v>
      </x:c>
      <x:c r="J160" s="282" t="n">
        <x:f>IF(G160="",0,XLOOKUP(G160,'平台参数'!$A$5:$A$9,'平台参数'!$H$5:$H$9,0))</x:f>
        <x:v>0</x:v>
      </x:c>
      <x:c r="K160" s="282" t="n">
        <x:f>IF(H160=0,0,H160*(1+I160)+J160)</x:f>
        <x:v>0</x:v>
      </x:c>
      <x:c r="L160" s="292"/>
      <x:c r="M160" s="292"/>
      <x:c r="N160" s="223"/>
      <x:c r="O160" s="282"/>
      <x:c r="P160" s="293" t="n">
        <x:f>IF(N160="",0,XLOOKUP(N160,'平台参数'!$A$5:$A$9,'平台参数'!$F$5:$F$9,0))</x:f>
        <x:v>0</x:v>
      </x:c>
      <x:c r="Q160" s="293" t="n">
        <x:f>IF(N160="",0,XLOOKUP(N160,'平台参数'!$A$5:$A$9,'平台参数'!$G$5:$G$9,0))</x:f>
        <x:v>0</x:v>
      </x:c>
      <x:c r="R160" s="282" t="n">
        <x:f>IF(N160="",0,XLOOKUP(N160,'平台参数'!$A$5:$A$9,'平台参数'!$I$5:$I$9,0))</x:f>
        <x:v>0</x:v>
      </x:c>
      <x:c r="S160" s="282" t="n">
        <x:f>IF(O160=0,0,O160*(1-P160-Q160)-R160)</x:f>
        <x:v>0</x:v>
      </x:c>
      <x:c r="T160" s="282" t="n">
        <x:f>S160-K160</x:f>
        <x:v>0</x:v>
      </x:c>
      <x:c r="U160" s="293" t="n">
        <x:f>IFERROR(T160/K160,0)</x:f>
        <x:v>0</x:v>
      </x:c>
      <x:c r="V160" s="282" t="n">
        <x:f>IF(F160="",0,IF(M160="",TODAY()-F160,M160-F160))</x:f>
        <x:v>0</x:v>
      </x:c>
      <x:c r="W160" s="223"/>
      <x:c r="X160" s="223"/>
      <x:c r="Y160" s="223"/>
      <x:c r="Z160" s="223"/>
    </x:row>
    <x:row r="161">
      <x:c r="A161" s="223"/>
      <x:c r="B161" s="223"/>
      <x:c r="C161" s="223"/>
      <x:c r="D161" s="223"/>
      <x:c r="E161" s="223"/>
      <x:c r="F161" s="292"/>
      <x:c r="G161" s="223"/>
      <x:c r="H161" s="282"/>
      <x:c r="I161" s="293" t="n">
        <x:f>IF(G161="",0,XLOOKUP(G161,'平台参数'!$A$5:$A$9,'平台参数'!$E$5:$E$9,0)+XLOOKUP(G161,'平台参数'!$A$5:$A$9,'平台参数'!$G$5:$G$9,0))</x:f>
        <x:v>0</x:v>
      </x:c>
      <x:c r="J161" s="282" t="n">
        <x:f>IF(G161="",0,XLOOKUP(G161,'平台参数'!$A$5:$A$9,'平台参数'!$H$5:$H$9,0))</x:f>
        <x:v>0</x:v>
      </x:c>
      <x:c r="K161" s="282" t="n">
        <x:f>IF(H161=0,0,H161*(1+I161)+J161)</x:f>
        <x:v>0</x:v>
      </x:c>
      <x:c r="L161" s="292"/>
      <x:c r="M161" s="292"/>
      <x:c r="N161" s="223"/>
      <x:c r="O161" s="282"/>
      <x:c r="P161" s="293" t="n">
        <x:f>IF(N161="",0,XLOOKUP(N161,'平台参数'!$A$5:$A$9,'平台参数'!$F$5:$F$9,0))</x:f>
        <x:v>0</x:v>
      </x:c>
      <x:c r="Q161" s="293" t="n">
        <x:f>IF(N161="",0,XLOOKUP(N161,'平台参数'!$A$5:$A$9,'平台参数'!$G$5:$G$9,0))</x:f>
        <x:v>0</x:v>
      </x:c>
      <x:c r="R161" s="282" t="n">
        <x:f>IF(N161="",0,XLOOKUP(N161,'平台参数'!$A$5:$A$9,'平台参数'!$I$5:$I$9,0))</x:f>
        <x:v>0</x:v>
      </x:c>
      <x:c r="S161" s="282" t="n">
        <x:f>IF(O161=0,0,O161*(1-P161-Q161)-R161)</x:f>
        <x:v>0</x:v>
      </x:c>
      <x:c r="T161" s="282" t="n">
        <x:f>S161-K161</x:f>
        <x:v>0</x:v>
      </x:c>
      <x:c r="U161" s="293" t="n">
        <x:f>IFERROR(T161/K161,0)</x:f>
        <x:v>0</x:v>
      </x:c>
      <x:c r="V161" s="282" t="n">
        <x:f>IF(F161="",0,IF(M161="",TODAY()-F161,M161-F161))</x:f>
        <x:v>0</x:v>
      </x:c>
      <x:c r="W161" s="223"/>
      <x:c r="X161" s="223"/>
      <x:c r="Y161" s="223"/>
      <x:c r="Z161" s="223"/>
    </x:row>
    <x:row r="162">
      <x:c r="A162" s="223"/>
      <x:c r="B162" s="223"/>
      <x:c r="C162" s="223"/>
      <x:c r="D162" s="223"/>
      <x:c r="E162" s="223"/>
      <x:c r="F162" s="292"/>
      <x:c r="G162" s="223"/>
      <x:c r="H162" s="282"/>
      <x:c r="I162" s="293" t="n">
        <x:f>IF(G162="",0,XLOOKUP(G162,'平台参数'!$A$5:$A$9,'平台参数'!$E$5:$E$9,0)+XLOOKUP(G162,'平台参数'!$A$5:$A$9,'平台参数'!$G$5:$G$9,0))</x:f>
        <x:v>0</x:v>
      </x:c>
      <x:c r="J162" s="282" t="n">
        <x:f>IF(G162="",0,XLOOKUP(G162,'平台参数'!$A$5:$A$9,'平台参数'!$H$5:$H$9,0))</x:f>
        <x:v>0</x:v>
      </x:c>
      <x:c r="K162" s="282" t="n">
        <x:f>IF(H162=0,0,H162*(1+I162)+J162)</x:f>
        <x:v>0</x:v>
      </x:c>
      <x:c r="L162" s="292"/>
      <x:c r="M162" s="292"/>
      <x:c r="N162" s="223"/>
      <x:c r="O162" s="282"/>
      <x:c r="P162" s="293" t="n">
        <x:f>IF(N162="",0,XLOOKUP(N162,'平台参数'!$A$5:$A$9,'平台参数'!$F$5:$F$9,0))</x:f>
        <x:v>0</x:v>
      </x:c>
      <x:c r="Q162" s="293" t="n">
        <x:f>IF(N162="",0,XLOOKUP(N162,'平台参数'!$A$5:$A$9,'平台参数'!$G$5:$G$9,0))</x:f>
        <x:v>0</x:v>
      </x:c>
      <x:c r="R162" s="282" t="n">
        <x:f>IF(N162="",0,XLOOKUP(N162,'平台参数'!$A$5:$A$9,'平台参数'!$I$5:$I$9,0))</x:f>
        <x:v>0</x:v>
      </x:c>
      <x:c r="S162" s="282" t="n">
        <x:f>IF(O162=0,0,O162*(1-P162-Q162)-R162)</x:f>
        <x:v>0</x:v>
      </x:c>
      <x:c r="T162" s="282" t="n">
        <x:f>S162-K162</x:f>
        <x:v>0</x:v>
      </x:c>
      <x:c r="U162" s="293" t="n">
        <x:f>IFERROR(T162/K162,0)</x:f>
        <x:v>0</x:v>
      </x:c>
      <x:c r="V162" s="282" t="n">
        <x:f>IF(F162="",0,IF(M162="",TODAY()-F162,M162-F162))</x:f>
        <x:v>0</x:v>
      </x:c>
      <x:c r="W162" s="223"/>
      <x:c r="X162" s="223"/>
      <x:c r="Y162" s="223"/>
      <x:c r="Z162" s="223"/>
    </x:row>
    <x:row r="163">
      <x:c r="A163" s="223"/>
      <x:c r="B163" s="223"/>
      <x:c r="C163" s="223"/>
      <x:c r="D163" s="223"/>
      <x:c r="E163" s="223"/>
      <x:c r="F163" s="292"/>
      <x:c r="G163" s="223"/>
      <x:c r="H163" s="282"/>
      <x:c r="I163" s="293" t="n">
        <x:f>IF(G163="",0,XLOOKUP(G163,'平台参数'!$A$5:$A$9,'平台参数'!$E$5:$E$9,0)+XLOOKUP(G163,'平台参数'!$A$5:$A$9,'平台参数'!$G$5:$G$9,0))</x:f>
        <x:v>0</x:v>
      </x:c>
      <x:c r="J163" s="282" t="n">
        <x:f>IF(G163="",0,XLOOKUP(G163,'平台参数'!$A$5:$A$9,'平台参数'!$H$5:$H$9,0))</x:f>
        <x:v>0</x:v>
      </x:c>
      <x:c r="K163" s="282" t="n">
        <x:f>IF(H163=0,0,H163*(1+I163)+J163)</x:f>
        <x:v>0</x:v>
      </x:c>
      <x:c r="L163" s="292"/>
      <x:c r="M163" s="292"/>
      <x:c r="N163" s="223"/>
      <x:c r="O163" s="282"/>
      <x:c r="P163" s="293" t="n">
        <x:f>IF(N163="",0,XLOOKUP(N163,'平台参数'!$A$5:$A$9,'平台参数'!$F$5:$F$9,0))</x:f>
        <x:v>0</x:v>
      </x:c>
      <x:c r="Q163" s="293" t="n">
        <x:f>IF(N163="",0,XLOOKUP(N163,'平台参数'!$A$5:$A$9,'平台参数'!$G$5:$G$9,0))</x:f>
        <x:v>0</x:v>
      </x:c>
      <x:c r="R163" s="282" t="n">
        <x:f>IF(N163="",0,XLOOKUP(N163,'平台参数'!$A$5:$A$9,'平台参数'!$I$5:$I$9,0))</x:f>
        <x:v>0</x:v>
      </x:c>
      <x:c r="S163" s="282" t="n">
        <x:f>IF(O163=0,0,O163*(1-P163-Q163)-R163)</x:f>
        <x:v>0</x:v>
      </x:c>
      <x:c r="T163" s="282" t="n">
        <x:f>S163-K163</x:f>
        <x:v>0</x:v>
      </x:c>
      <x:c r="U163" s="293" t="n">
        <x:f>IFERROR(T163/K163,0)</x:f>
        <x:v>0</x:v>
      </x:c>
      <x:c r="V163" s="282" t="n">
        <x:f>IF(F163="",0,IF(M163="",TODAY()-F163,M163-F163))</x:f>
        <x:v>0</x:v>
      </x:c>
      <x:c r="W163" s="223"/>
      <x:c r="X163" s="223"/>
      <x:c r="Y163" s="223"/>
      <x:c r="Z163" s="223"/>
    </x:row>
    <x:row r="164">
      <x:c r="A164" s="223"/>
      <x:c r="B164" s="223"/>
      <x:c r="C164" s="223"/>
      <x:c r="D164" s="223"/>
      <x:c r="E164" s="223"/>
      <x:c r="F164" s="292"/>
      <x:c r="G164" s="223"/>
      <x:c r="H164" s="282"/>
      <x:c r="I164" s="293" t="n">
        <x:f>IF(G164="",0,XLOOKUP(G164,'平台参数'!$A$5:$A$9,'平台参数'!$E$5:$E$9,0)+XLOOKUP(G164,'平台参数'!$A$5:$A$9,'平台参数'!$G$5:$G$9,0))</x:f>
        <x:v>0</x:v>
      </x:c>
      <x:c r="J164" s="282" t="n">
        <x:f>IF(G164="",0,XLOOKUP(G164,'平台参数'!$A$5:$A$9,'平台参数'!$H$5:$H$9,0))</x:f>
        <x:v>0</x:v>
      </x:c>
      <x:c r="K164" s="282" t="n">
        <x:f>IF(H164=0,0,H164*(1+I164)+J164)</x:f>
        <x:v>0</x:v>
      </x:c>
      <x:c r="L164" s="292"/>
      <x:c r="M164" s="292"/>
      <x:c r="N164" s="223"/>
      <x:c r="O164" s="282"/>
      <x:c r="P164" s="293" t="n">
        <x:f>IF(N164="",0,XLOOKUP(N164,'平台参数'!$A$5:$A$9,'平台参数'!$F$5:$F$9,0))</x:f>
        <x:v>0</x:v>
      </x:c>
      <x:c r="Q164" s="293" t="n">
        <x:f>IF(N164="",0,XLOOKUP(N164,'平台参数'!$A$5:$A$9,'平台参数'!$G$5:$G$9,0))</x:f>
        <x:v>0</x:v>
      </x:c>
      <x:c r="R164" s="282" t="n">
        <x:f>IF(N164="",0,XLOOKUP(N164,'平台参数'!$A$5:$A$9,'平台参数'!$I$5:$I$9,0))</x:f>
        <x:v>0</x:v>
      </x:c>
      <x:c r="S164" s="282" t="n">
        <x:f>IF(O164=0,0,O164*(1-P164-Q164)-R164)</x:f>
        <x:v>0</x:v>
      </x:c>
      <x:c r="T164" s="282" t="n">
        <x:f>S164-K164</x:f>
        <x:v>0</x:v>
      </x:c>
      <x:c r="U164" s="293" t="n">
        <x:f>IFERROR(T164/K164,0)</x:f>
        <x:v>0</x:v>
      </x:c>
      <x:c r="V164" s="282" t="n">
        <x:f>IF(F164="",0,IF(M164="",TODAY()-F164,M164-F164))</x:f>
        <x:v>0</x:v>
      </x:c>
      <x:c r="W164" s="223"/>
      <x:c r="X164" s="223"/>
      <x:c r="Y164" s="223"/>
      <x:c r="Z164" s="223"/>
    </x:row>
    <x:row r="165">
      <x:c r="A165" s="223"/>
      <x:c r="B165" s="223"/>
      <x:c r="C165" s="223"/>
      <x:c r="D165" s="223"/>
      <x:c r="E165" s="223"/>
      <x:c r="F165" s="292"/>
      <x:c r="G165" s="223"/>
      <x:c r="H165" s="282"/>
      <x:c r="I165" s="293" t="n">
        <x:f>IF(G165="",0,XLOOKUP(G165,'平台参数'!$A$5:$A$9,'平台参数'!$E$5:$E$9,0)+XLOOKUP(G165,'平台参数'!$A$5:$A$9,'平台参数'!$G$5:$G$9,0))</x:f>
        <x:v>0</x:v>
      </x:c>
      <x:c r="J165" s="282" t="n">
        <x:f>IF(G165="",0,XLOOKUP(G165,'平台参数'!$A$5:$A$9,'平台参数'!$H$5:$H$9,0))</x:f>
        <x:v>0</x:v>
      </x:c>
      <x:c r="K165" s="282" t="n">
        <x:f>IF(H165=0,0,H165*(1+I165)+J165)</x:f>
        <x:v>0</x:v>
      </x:c>
      <x:c r="L165" s="292"/>
      <x:c r="M165" s="292"/>
      <x:c r="N165" s="223"/>
      <x:c r="O165" s="282"/>
      <x:c r="P165" s="293" t="n">
        <x:f>IF(N165="",0,XLOOKUP(N165,'平台参数'!$A$5:$A$9,'平台参数'!$F$5:$F$9,0))</x:f>
        <x:v>0</x:v>
      </x:c>
      <x:c r="Q165" s="293" t="n">
        <x:f>IF(N165="",0,XLOOKUP(N165,'平台参数'!$A$5:$A$9,'平台参数'!$G$5:$G$9,0))</x:f>
        <x:v>0</x:v>
      </x:c>
      <x:c r="R165" s="282" t="n">
        <x:f>IF(N165="",0,XLOOKUP(N165,'平台参数'!$A$5:$A$9,'平台参数'!$I$5:$I$9,0))</x:f>
        <x:v>0</x:v>
      </x:c>
      <x:c r="S165" s="282" t="n">
        <x:f>IF(O165=0,0,O165*(1-P165-Q165)-R165)</x:f>
        <x:v>0</x:v>
      </x:c>
      <x:c r="T165" s="282" t="n">
        <x:f>S165-K165</x:f>
        <x:v>0</x:v>
      </x:c>
      <x:c r="U165" s="293" t="n">
        <x:f>IFERROR(T165/K165,0)</x:f>
        <x:v>0</x:v>
      </x:c>
      <x:c r="V165" s="282" t="n">
        <x:f>IF(F165="",0,IF(M165="",TODAY()-F165,M165-F165))</x:f>
        <x:v>0</x:v>
      </x:c>
      <x:c r="W165" s="223"/>
      <x:c r="X165" s="223"/>
      <x:c r="Y165" s="223"/>
      <x:c r="Z165" s="223"/>
    </x:row>
    <x:row r="166">
      <x:c r="A166" s="223"/>
      <x:c r="B166" s="223"/>
      <x:c r="C166" s="223"/>
      <x:c r="D166" s="223"/>
      <x:c r="E166" s="223"/>
      <x:c r="F166" s="292"/>
      <x:c r="G166" s="223"/>
      <x:c r="H166" s="282"/>
      <x:c r="I166" s="293" t="n">
        <x:f>IF(G166="",0,XLOOKUP(G166,'平台参数'!$A$5:$A$9,'平台参数'!$E$5:$E$9,0)+XLOOKUP(G166,'平台参数'!$A$5:$A$9,'平台参数'!$G$5:$G$9,0))</x:f>
        <x:v>0</x:v>
      </x:c>
      <x:c r="J166" s="282" t="n">
        <x:f>IF(G166="",0,XLOOKUP(G166,'平台参数'!$A$5:$A$9,'平台参数'!$H$5:$H$9,0))</x:f>
        <x:v>0</x:v>
      </x:c>
      <x:c r="K166" s="282" t="n">
        <x:f>IF(H166=0,0,H166*(1+I166)+J166)</x:f>
        <x:v>0</x:v>
      </x:c>
      <x:c r="L166" s="292"/>
      <x:c r="M166" s="292"/>
      <x:c r="N166" s="223"/>
      <x:c r="O166" s="282"/>
      <x:c r="P166" s="293" t="n">
        <x:f>IF(N166="",0,XLOOKUP(N166,'平台参数'!$A$5:$A$9,'平台参数'!$F$5:$F$9,0))</x:f>
        <x:v>0</x:v>
      </x:c>
      <x:c r="Q166" s="293" t="n">
        <x:f>IF(N166="",0,XLOOKUP(N166,'平台参数'!$A$5:$A$9,'平台参数'!$G$5:$G$9,0))</x:f>
        <x:v>0</x:v>
      </x:c>
      <x:c r="R166" s="282" t="n">
        <x:f>IF(N166="",0,XLOOKUP(N166,'平台参数'!$A$5:$A$9,'平台参数'!$I$5:$I$9,0))</x:f>
        <x:v>0</x:v>
      </x:c>
      <x:c r="S166" s="282" t="n">
        <x:f>IF(O166=0,0,O166*(1-P166-Q166)-R166)</x:f>
        <x:v>0</x:v>
      </x:c>
      <x:c r="T166" s="282" t="n">
        <x:f>S166-K166</x:f>
        <x:v>0</x:v>
      </x:c>
      <x:c r="U166" s="293" t="n">
        <x:f>IFERROR(T166/K166,0)</x:f>
        <x:v>0</x:v>
      </x:c>
      <x:c r="V166" s="282" t="n">
        <x:f>IF(F166="",0,IF(M166="",TODAY()-F166,M166-F166))</x:f>
        <x:v>0</x:v>
      </x:c>
      <x:c r="W166" s="223"/>
      <x:c r="X166" s="223"/>
      <x:c r="Y166" s="223"/>
      <x:c r="Z166" s="223"/>
    </x:row>
    <x:row r="167">
      <x:c r="A167" s="223"/>
      <x:c r="B167" s="223"/>
      <x:c r="C167" s="223"/>
      <x:c r="D167" s="223"/>
      <x:c r="E167" s="223"/>
      <x:c r="F167" s="292"/>
      <x:c r="G167" s="223"/>
      <x:c r="H167" s="282"/>
      <x:c r="I167" s="293" t="n">
        <x:f>IF(G167="",0,XLOOKUP(G167,'平台参数'!$A$5:$A$9,'平台参数'!$E$5:$E$9,0)+XLOOKUP(G167,'平台参数'!$A$5:$A$9,'平台参数'!$G$5:$G$9,0))</x:f>
        <x:v>0</x:v>
      </x:c>
      <x:c r="J167" s="282" t="n">
        <x:f>IF(G167="",0,XLOOKUP(G167,'平台参数'!$A$5:$A$9,'平台参数'!$H$5:$H$9,0))</x:f>
        <x:v>0</x:v>
      </x:c>
      <x:c r="K167" s="282" t="n">
        <x:f>IF(H167=0,0,H167*(1+I167)+J167)</x:f>
        <x:v>0</x:v>
      </x:c>
      <x:c r="L167" s="292"/>
      <x:c r="M167" s="292"/>
      <x:c r="N167" s="223"/>
      <x:c r="O167" s="282"/>
      <x:c r="P167" s="293" t="n">
        <x:f>IF(N167="",0,XLOOKUP(N167,'平台参数'!$A$5:$A$9,'平台参数'!$F$5:$F$9,0))</x:f>
        <x:v>0</x:v>
      </x:c>
      <x:c r="Q167" s="293" t="n">
        <x:f>IF(N167="",0,XLOOKUP(N167,'平台参数'!$A$5:$A$9,'平台参数'!$G$5:$G$9,0))</x:f>
        <x:v>0</x:v>
      </x:c>
      <x:c r="R167" s="282" t="n">
        <x:f>IF(N167="",0,XLOOKUP(N167,'平台参数'!$A$5:$A$9,'平台参数'!$I$5:$I$9,0))</x:f>
        <x:v>0</x:v>
      </x:c>
      <x:c r="S167" s="282" t="n">
        <x:f>IF(O167=0,0,O167*(1-P167-Q167)-R167)</x:f>
        <x:v>0</x:v>
      </x:c>
      <x:c r="T167" s="282" t="n">
        <x:f>S167-K167</x:f>
        <x:v>0</x:v>
      </x:c>
      <x:c r="U167" s="293" t="n">
        <x:f>IFERROR(T167/K167,0)</x:f>
        <x:v>0</x:v>
      </x:c>
      <x:c r="V167" s="282" t="n">
        <x:f>IF(F167="",0,IF(M167="",TODAY()-F167,M167-F167))</x:f>
        <x:v>0</x:v>
      </x:c>
      <x:c r="W167" s="223"/>
      <x:c r="X167" s="223"/>
      <x:c r="Y167" s="223"/>
      <x:c r="Z167" s="223"/>
    </x:row>
    <x:row r="168">
      <x:c r="A168" s="223"/>
      <x:c r="B168" s="223"/>
      <x:c r="C168" s="223"/>
      <x:c r="D168" s="223"/>
      <x:c r="E168" s="223"/>
      <x:c r="F168" s="292"/>
      <x:c r="G168" s="223"/>
      <x:c r="H168" s="282"/>
      <x:c r="I168" s="293" t="n">
        <x:f>IF(G168="",0,XLOOKUP(G168,'平台参数'!$A$5:$A$9,'平台参数'!$E$5:$E$9,0)+XLOOKUP(G168,'平台参数'!$A$5:$A$9,'平台参数'!$G$5:$G$9,0))</x:f>
        <x:v>0</x:v>
      </x:c>
      <x:c r="J168" s="282" t="n">
        <x:f>IF(G168="",0,XLOOKUP(G168,'平台参数'!$A$5:$A$9,'平台参数'!$H$5:$H$9,0))</x:f>
        <x:v>0</x:v>
      </x:c>
      <x:c r="K168" s="282" t="n">
        <x:f>IF(H168=0,0,H168*(1+I168)+J168)</x:f>
        <x:v>0</x:v>
      </x:c>
      <x:c r="L168" s="292"/>
      <x:c r="M168" s="292"/>
      <x:c r="N168" s="223"/>
      <x:c r="O168" s="282"/>
      <x:c r="P168" s="293" t="n">
        <x:f>IF(N168="",0,XLOOKUP(N168,'平台参数'!$A$5:$A$9,'平台参数'!$F$5:$F$9,0))</x:f>
        <x:v>0</x:v>
      </x:c>
      <x:c r="Q168" s="293" t="n">
        <x:f>IF(N168="",0,XLOOKUP(N168,'平台参数'!$A$5:$A$9,'平台参数'!$G$5:$G$9,0))</x:f>
        <x:v>0</x:v>
      </x:c>
      <x:c r="R168" s="282" t="n">
        <x:f>IF(N168="",0,XLOOKUP(N168,'平台参数'!$A$5:$A$9,'平台参数'!$I$5:$I$9,0))</x:f>
        <x:v>0</x:v>
      </x:c>
      <x:c r="S168" s="282" t="n">
        <x:f>IF(O168=0,0,O168*(1-P168-Q168)-R168)</x:f>
        <x:v>0</x:v>
      </x:c>
      <x:c r="T168" s="282" t="n">
        <x:f>S168-K168</x:f>
        <x:v>0</x:v>
      </x:c>
      <x:c r="U168" s="293" t="n">
        <x:f>IFERROR(T168/K168,0)</x:f>
        <x:v>0</x:v>
      </x:c>
      <x:c r="V168" s="282" t="n">
        <x:f>IF(F168="",0,IF(M168="",TODAY()-F168,M168-F168))</x:f>
        <x:v>0</x:v>
      </x:c>
      <x:c r="W168" s="223"/>
      <x:c r="X168" s="223"/>
      <x:c r="Y168" s="223"/>
      <x:c r="Z168" s="223"/>
    </x:row>
    <x:row r="169">
      <x:c r="A169" s="223"/>
      <x:c r="B169" s="223"/>
      <x:c r="C169" s="223"/>
      <x:c r="D169" s="223"/>
      <x:c r="E169" s="223"/>
      <x:c r="F169" s="292"/>
      <x:c r="G169" s="223"/>
      <x:c r="H169" s="282"/>
      <x:c r="I169" s="293" t="n">
        <x:f>IF(G169="",0,XLOOKUP(G169,'平台参数'!$A$5:$A$9,'平台参数'!$E$5:$E$9,0)+XLOOKUP(G169,'平台参数'!$A$5:$A$9,'平台参数'!$G$5:$G$9,0))</x:f>
        <x:v>0</x:v>
      </x:c>
      <x:c r="J169" s="282" t="n">
        <x:f>IF(G169="",0,XLOOKUP(G169,'平台参数'!$A$5:$A$9,'平台参数'!$H$5:$H$9,0))</x:f>
        <x:v>0</x:v>
      </x:c>
      <x:c r="K169" s="282" t="n">
        <x:f>IF(H169=0,0,H169*(1+I169)+J169)</x:f>
        <x:v>0</x:v>
      </x:c>
      <x:c r="L169" s="292"/>
      <x:c r="M169" s="292"/>
      <x:c r="N169" s="223"/>
      <x:c r="O169" s="282"/>
      <x:c r="P169" s="293" t="n">
        <x:f>IF(N169="",0,XLOOKUP(N169,'平台参数'!$A$5:$A$9,'平台参数'!$F$5:$F$9,0))</x:f>
        <x:v>0</x:v>
      </x:c>
      <x:c r="Q169" s="293" t="n">
        <x:f>IF(N169="",0,XLOOKUP(N169,'平台参数'!$A$5:$A$9,'平台参数'!$G$5:$G$9,0))</x:f>
        <x:v>0</x:v>
      </x:c>
      <x:c r="R169" s="282" t="n">
        <x:f>IF(N169="",0,XLOOKUP(N169,'平台参数'!$A$5:$A$9,'平台参数'!$I$5:$I$9,0))</x:f>
        <x:v>0</x:v>
      </x:c>
      <x:c r="S169" s="282" t="n">
        <x:f>IF(O169=0,0,O169*(1-P169-Q169)-R169)</x:f>
        <x:v>0</x:v>
      </x:c>
      <x:c r="T169" s="282" t="n">
        <x:f>S169-K169</x:f>
        <x:v>0</x:v>
      </x:c>
      <x:c r="U169" s="293" t="n">
        <x:f>IFERROR(T169/K169,0)</x:f>
        <x:v>0</x:v>
      </x:c>
      <x:c r="V169" s="282" t="n">
        <x:f>IF(F169="",0,IF(M169="",TODAY()-F169,M169-F169))</x:f>
        <x:v>0</x:v>
      </x:c>
      <x:c r="W169" s="223"/>
      <x:c r="X169" s="223"/>
      <x:c r="Y169" s="223"/>
      <x:c r="Z169" s="223"/>
    </x:row>
    <x:row r="170">
      <x:c r="A170" s="223"/>
      <x:c r="B170" s="223"/>
      <x:c r="C170" s="223"/>
      <x:c r="D170" s="223"/>
      <x:c r="E170" s="223"/>
      <x:c r="F170" s="292"/>
      <x:c r="G170" s="223"/>
      <x:c r="H170" s="282"/>
      <x:c r="I170" s="293" t="n">
        <x:f>IF(G170="",0,XLOOKUP(G170,'平台参数'!$A$5:$A$9,'平台参数'!$E$5:$E$9,0)+XLOOKUP(G170,'平台参数'!$A$5:$A$9,'平台参数'!$G$5:$G$9,0))</x:f>
        <x:v>0</x:v>
      </x:c>
      <x:c r="J170" s="282" t="n">
        <x:f>IF(G170="",0,XLOOKUP(G170,'平台参数'!$A$5:$A$9,'平台参数'!$H$5:$H$9,0))</x:f>
        <x:v>0</x:v>
      </x:c>
      <x:c r="K170" s="282" t="n">
        <x:f>IF(H170=0,0,H170*(1+I170)+J170)</x:f>
        <x:v>0</x:v>
      </x:c>
      <x:c r="L170" s="292"/>
      <x:c r="M170" s="292"/>
      <x:c r="N170" s="223"/>
      <x:c r="O170" s="282"/>
      <x:c r="P170" s="293" t="n">
        <x:f>IF(N170="",0,XLOOKUP(N170,'平台参数'!$A$5:$A$9,'平台参数'!$F$5:$F$9,0))</x:f>
        <x:v>0</x:v>
      </x:c>
      <x:c r="Q170" s="293" t="n">
        <x:f>IF(N170="",0,XLOOKUP(N170,'平台参数'!$A$5:$A$9,'平台参数'!$G$5:$G$9,0))</x:f>
        <x:v>0</x:v>
      </x:c>
      <x:c r="R170" s="282" t="n">
        <x:f>IF(N170="",0,XLOOKUP(N170,'平台参数'!$A$5:$A$9,'平台参数'!$I$5:$I$9,0))</x:f>
        <x:v>0</x:v>
      </x:c>
      <x:c r="S170" s="282" t="n">
        <x:f>IF(O170=0,0,O170*(1-P170-Q170)-R170)</x:f>
        <x:v>0</x:v>
      </x:c>
      <x:c r="T170" s="282" t="n">
        <x:f>S170-K170</x:f>
        <x:v>0</x:v>
      </x:c>
      <x:c r="U170" s="293" t="n">
        <x:f>IFERROR(T170/K170,0)</x:f>
        <x:v>0</x:v>
      </x:c>
      <x:c r="V170" s="282" t="n">
        <x:f>IF(F170="",0,IF(M170="",TODAY()-F170,M170-F170))</x:f>
        <x:v>0</x:v>
      </x:c>
      <x:c r="W170" s="223"/>
      <x:c r="X170" s="223"/>
      <x:c r="Y170" s="223"/>
      <x:c r="Z170" s="223"/>
    </x:row>
    <x:row r="171">
      <x:c r="A171" s="223"/>
      <x:c r="B171" s="223"/>
      <x:c r="C171" s="223"/>
      <x:c r="D171" s="223"/>
      <x:c r="E171" s="223"/>
      <x:c r="F171" s="292"/>
      <x:c r="G171" s="223"/>
      <x:c r="H171" s="282"/>
      <x:c r="I171" s="293" t="n">
        <x:f>IF(G171="",0,XLOOKUP(G171,'平台参数'!$A$5:$A$9,'平台参数'!$E$5:$E$9,0)+XLOOKUP(G171,'平台参数'!$A$5:$A$9,'平台参数'!$G$5:$G$9,0))</x:f>
        <x:v>0</x:v>
      </x:c>
      <x:c r="J171" s="282" t="n">
        <x:f>IF(G171="",0,XLOOKUP(G171,'平台参数'!$A$5:$A$9,'平台参数'!$H$5:$H$9,0))</x:f>
        <x:v>0</x:v>
      </x:c>
      <x:c r="K171" s="282" t="n">
        <x:f>IF(H171=0,0,H171*(1+I171)+J171)</x:f>
        <x:v>0</x:v>
      </x:c>
      <x:c r="L171" s="292"/>
      <x:c r="M171" s="292"/>
      <x:c r="N171" s="223"/>
      <x:c r="O171" s="282"/>
      <x:c r="P171" s="293" t="n">
        <x:f>IF(N171="",0,XLOOKUP(N171,'平台参数'!$A$5:$A$9,'平台参数'!$F$5:$F$9,0))</x:f>
        <x:v>0</x:v>
      </x:c>
      <x:c r="Q171" s="293" t="n">
        <x:f>IF(N171="",0,XLOOKUP(N171,'平台参数'!$A$5:$A$9,'平台参数'!$G$5:$G$9,0))</x:f>
        <x:v>0</x:v>
      </x:c>
      <x:c r="R171" s="282" t="n">
        <x:f>IF(N171="",0,XLOOKUP(N171,'平台参数'!$A$5:$A$9,'平台参数'!$I$5:$I$9,0))</x:f>
        <x:v>0</x:v>
      </x:c>
      <x:c r="S171" s="282" t="n">
        <x:f>IF(O171=0,0,O171*(1-P171-Q171)-R171)</x:f>
        <x:v>0</x:v>
      </x:c>
      <x:c r="T171" s="282" t="n">
        <x:f>S171-K171</x:f>
        <x:v>0</x:v>
      </x:c>
      <x:c r="U171" s="293" t="n">
        <x:f>IFERROR(T171/K171,0)</x:f>
        <x:v>0</x:v>
      </x:c>
      <x:c r="V171" s="282" t="n">
        <x:f>IF(F171="",0,IF(M171="",TODAY()-F171,M171-F171))</x:f>
        <x:v>0</x:v>
      </x:c>
      <x:c r="W171" s="223"/>
      <x:c r="X171" s="223"/>
      <x:c r="Y171" s="223"/>
      <x:c r="Z171" s="223"/>
    </x:row>
    <x:row r="172">
      <x:c r="A172" s="223"/>
      <x:c r="B172" s="223"/>
      <x:c r="C172" s="223"/>
      <x:c r="D172" s="223"/>
      <x:c r="E172" s="223"/>
      <x:c r="F172" s="292"/>
      <x:c r="G172" s="223"/>
      <x:c r="H172" s="282"/>
      <x:c r="I172" s="293" t="n">
        <x:f>IF(G172="",0,XLOOKUP(G172,'平台参数'!$A$5:$A$9,'平台参数'!$E$5:$E$9,0)+XLOOKUP(G172,'平台参数'!$A$5:$A$9,'平台参数'!$G$5:$G$9,0))</x:f>
        <x:v>0</x:v>
      </x:c>
      <x:c r="J172" s="282" t="n">
        <x:f>IF(G172="",0,XLOOKUP(G172,'平台参数'!$A$5:$A$9,'平台参数'!$H$5:$H$9,0))</x:f>
        <x:v>0</x:v>
      </x:c>
      <x:c r="K172" s="282" t="n">
        <x:f>IF(H172=0,0,H172*(1+I172)+J172)</x:f>
        <x:v>0</x:v>
      </x:c>
      <x:c r="L172" s="292"/>
      <x:c r="M172" s="292"/>
      <x:c r="N172" s="223"/>
      <x:c r="O172" s="282"/>
      <x:c r="P172" s="293" t="n">
        <x:f>IF(N172="",0,XLOOKUP(N172,'平台参数'!$A$5:$A$9,'平台参数'!$F$5:$F$9,0))</x:f>
        <x:v>0</x:v>
      </x:c>
      <x:c r="Q172" s="293" t="n">
        <x:f>IF(N172="",0,XLOOKUP(N172,'平台参数'!$A$5:$A$9,'平台参数'!$G$5:$G$9,0))</x:f>
        <x:v>0</x:v>
      </x:c>
      <x:c r="R172" s="282" t="n">
        <x:f>IF(N172="",0,XLOOKUP(N172,'平台参数'!$A$5:$A$9,'平台参数'!$I$5:$I$9,0))</x:f>
        <x:v>0</x:v>
      </x:c>
      <x:c r="S172" s="282" t="n">
        <x:f>IF(O172=0,0,O172*(1-P172-Q172)-R172)</x:f>
        <x:v>0</x:v>
      </x:c>
      <x:c r="T172" s="282" t="n">
        <x:f>S172-K172</x:f>
        <x:v>0</x:v>
      </x:c>
      <x:c r="U172" s="293" t="n">
        <x:f>IFERROR(T172/K172,0)</x:f>
        <x:v>0</x:v>
      </x:c>
      <x:c r="V172" s="282" t="n">
        <x:f>IF(F172="",0,IF(M172="",TODAY()-F172,M172-F172))</x:f>
        <x:v>0</x:v>
      </x:c>
      <x:c r="W172" s="223"/>
      <x:c r="X172" s="223"/>
      <x:c r="Y172" s="223"/>
      <x:c r="Z172" s="223"/>
    </x:row>
    <x:row r="173">
      <x:c r="A173" s="223"/>
      <x:c r="B173" s="223"/>
      <x:c r="C173" s="223"/>
      <x:c r="D173" s="223"/>
      <x:c r="E173" s="223"/>
      <x:c r="F173" s="292"/>
      <x:c r="G173" s="223"/>
      <x:c r="H173" s="282"/>
      <x:c r="I173" s="293" t="n">
        <x:f>IF(G173="",0,XLOOKUP(G173,'平台参数'!$A$5:$A$9,'平台参数'!$E$5:$E$9,0)+XLOOKUP(G173,'平台参数'!$A$5:$A$9,'平台参数'!$G$5:$G$9,0))</x:f>
        <x:v>0</x:v>
      </x:c>
      <x:c r="J173" s="282" t="n">
        <x:f>IF(G173="",0,XLOOKUP(G173,'平台参数'!$A$5:$A$9,'平台参数'!$H$5:$H$9,0))</x:f>
        <x:v>0</x:v>
      </x:c>
      <x:c r="K173" s="282" t="n">
        <x:f>IF(H173=0,0,H173*(1+I173)+J173)</x:f>
        <x:v>0</x:v>
      </x:c>
      <x:c r="L173" s="292"/>
      <x:c r="M173" s="292"/>
      <x:c r="N173" s="223"/>
      <x:c r="O173" s="282"/>
      <x:c r="P173" s="293" t="n">
        <x:f>IF(N173="",0,XLOOKUP(N173,'平台参数'!$A$5:$A$9,'平台参数'!$F$5:$F$9,0))</x:f>
        <x:v>0</x:v>
      </x:c>
      <x:c r="Q173" s="293" t="n">
        <x:f>IF(N173="",0,XLOOKUP(N173,'平台参数'!$A$5:$A$9,'平台参数'!$G$5:$G$9,0))</x:f>
        <x:v>0</x:v>
      </x:c>
      <x:c r="R173" s="282" t="n">
        <x:f>IF(N173="",0,XLOOKUP(N173,'平台参数'!$A$5:$A$9,'平台参数'!$I$5:$I$9,0))</x:f>
        <x:v>0</x:v>
      </x:c>
      <x:c r="S173" s="282" t="n">
        <x:f>IF(O173=0,0,O173*(1-P173-Q173)-R173)</x:f>
        <x:v>0</x:v>
      </x:c>
      <x:c r="T173" s="282" t="n">
        <x:f>S173-K173</x:f>
        <x:v>0</x:v>
      </x:c>
      <x:c r="U173" s="293" t="n">
        <x:f>IFERROR(T173/K173,0)</x:f>
        <x:v>0</x:v>
      </x:c>
      <x:c r="V173" s="282" t="n">
        <x:f>IF(F173="",0,IF(M173="",TODAY()-F173,M173-F173))</x:f>
        <x:v>0</x:v>
      </x:c>
      <x:c r="W173" s="223"/>
      <x:c r="X173" s="223"/>
      <x:c r="Y173" s="223"/>
      <x:c r="Z173" s="223"/>
    </x:row>
    <x:row r="174">
      <x:c r="A174" s="223"/>
      <x:c r="B174" s="223"/>
      <x:c r="C174" s="223"/>
      <x:c r="D174" s="223"/>
      <x:c r="E174" s="223"/>
      <x:c r="F174" s="292"/>
      <x:c r="G174" s="223"/>
      <x:c r="H174" s="282"/>
      <x:c r="I174" s="293" t="n">
        <x:f>IF(G174="",0,XLOOKUP(G174,'平台参数'!$A$5:$A$9,'平台参数'!$E$5:$E$9,0)+XLOOKUP(G174,'平台参数'!$A$5:$A$9,'平台参数'!$G$5:$G$9,0))</x:f>
        <x:v>0</x:v>
      </x:c>
      <x:c r="J174" s="282" t="n">
        <x:f>IF(G174="",0,XLOOKUP(G174,'平台参数'!$A$5:$A$9,'平台参数'!$H$5:$H$9,0))</x:f>
        <x:v>0</x:v>
      </x:c>
      <x:c r="K174" s="282" t="n">
        <x:f>IF(H174=0,0,H174*(1+I174)+J174)</x:f>
        <x:v>0</x:v>
      </x:c>
      <x:c r="L174" s="292"/>
      <x:c r="M174" s="292"/>
      <x:c r="N174" s="223"/>
      <x:c r="O174" s="282"/>
      <x:c r="P174" s="293" t="n">
        <x:f>IF(N174="",0,XLOOKUP(N174,'平台参数'!$A$5:$A$9,'平台参数'!$F$5:$F$9,0))</x:f>
        <x:v>0</x:v>
      </x:c>
      <x:c r="Q174" s="293" t="n">
        <x:f>IF(N174="",0,XLOOKUP(N174,'平台参数'!$A$5:$A$9,'平台参数'!$G$5:$G$9,0))</x:f>
        <x:v>0</x:v>
      </x:c>
      <x:c r="R174" s="282" t="n">
        <x:f>IF(N174="",0,XLOOKUP(N174,'平台参数'!$A$5:$A$9,'平台参数'!$I$5:$I$9,0))</x:f>
        <x:v>0</x:v>
      </x:c>
      <x:c r="S174" s="282" t="n">
        <x:f>IF(O174=0,0,O174*(1-P174-Q174)-R174)</x:f>
        <x:v>0</x:v>
      </x:c>
      <x:c r="T174" s="282" t="n">
        <x:f>S174-K174</x:f>
        <x:v>0</x:v>
      </x:c>
      <x:c r="U174" s="293" t="n">
        <x:f>IFERROR(T174/K174,0)</x:f>
        <x:v>0</x:v>
      </x:c>
      <x:c r="V174" s="282" t="n">
        <x:f>IF(F174="",0,IF(M174="",TODAY()-F174,M174-F174))</x:f>
        <x:v>0</x:v>
      </x:c>
      <x:c r="W174" s="223"/>
      <x:c r="X174" s="223"/>
      <x:c r="Y174" s="223"/>
      <x:c r="Z174" s="223"/>
    </x:row>
    <x:row r="175">
      <x:c r="A175" s="223"/>
      <x:c r="B175" s="223"/>
      <x:c r="C175" s="223"/>
      <x:c r="D175" s="223"/>
      <x:c r="E175" s="223"/>
      <x:c r="F175" s="292"/>
      <x:c r="G175" s="223"/>
      <x:c r="H175" s="282"/>
      <x:c r="I175" s="293" t="n">
        <x:f>IF(G175="",0,XLOOKUP(G175,'平台参数'!$A$5:$A$9,'平台参数'!$E$5:$E$9,0)+XLOOKUP(G175,'平台参数'!$A$5:$A$9,'平台参数'!$G$5:$G$9,0))</x:f>
        <x:v>0</x:v>
      </x:c>
      <x:c r="J175" s="282" t="n">
        <x:f>IF(G175="",0,XLOOKUP(G175,'平台参数'!$A$5:$A$9,'平台参数'!$H$5:$H$9,0))</x:f>
        <x:v>0</x:v>
      </x:c>
      <x:c r="K175" s="282" t="n">
        <x:f>IF(H175=0,0,H175*(1+I175)+J175)</x:f>
        <x:v>0</x:v>
      </x:c>
      <x:c r="L175" s="292"/>
      <x:c r="M175" s="292"/>
      <x:c r="N175" s="223"/>
      <x:c r="O175" s="282"/>
      <x:c r="P175" s="293" t="n">
        <x:f>IF(N175="",0,XLOOKUP(N175,'平台参数'!$A$5:$A$9,'平台参数'!$F$5:$F$9,0))</x:f>
        <x:v>0</x:v>
      </x:c>
      <x:c r="Q175" s="293" t="n">
        <x:f>IF(N175="",0,XLOOKUP(N175,'平台参数'!$A$5:$A$9,'平台参数'!$G$5:$G$9,0))</x:f>
        <x:v>0</x:v>
      </x:c>
      <x:c r="R175" s="282" t="n">
        <x:f>IF(N175="",0,XLOOKUP(N175,'平台参数'!$A$5:$A$9,'平台参数'!$I$5:$I$9,0))</x:f>
        <x:v>0</x:v>
      </x:c>
      <x:c r="S175" s="282" t="n">
        <x:f>IF(O175=0,0,O175*(1-P175-Q175)-R175)</x:f>
        <x:v>0</x:v>
      </x:c>
      <x:c r="T175" s="282" t="n">
        <x:f>S175-K175</x:f>
        <x:v>0</x:v>
      </x:c>
      <x:c r="U175" s="293" t="n">
        <x:f>IFERROR(T175/K175,0)</x:f>
        <x:v>0</x:v>
      </x:c>
      <x:c r="V175" s="282" t="n">
        <x:f>IF(F175="",0,IF(M175="",TODAY()-F175,M175-F175))</x:f>
        <x:v>0</x:v>
      </x:c>
      <x:c r="W175" s="223"/>
      <x:c r="X175" s="223"/>
      <x:c r="Y175" s="223"/>
      <x:c r="Z175" s="223"/>
    </x:row>
    <x:row r="176">
      <x:c r="A176" s="223"/>
      <x:c r="B176" s="223"/>
      <x:c r="C176" s="223"/>
      <x:c r="D176" s="223"/>
      <x:c r="E176" s="223"/>
      <x:c r="F176" s="292"/>
      <x:c r="G176" s="223"/>
      <x:c r="H176" s="282"/>
      <x:c r="I176" s="293" t="n">
        <x:f>IF(G176="",0,XLOOKUP(G176,'平台参数'!$A$5:$A$9,'平台参数'!$E$5:$E$9,0)+XLOOKUP(G176,'平台参数'!$A$5:$A$9,'平台参数'!$G$5:$G$9,0))</x:f>
        <x:v>0</x:v>
      </x:c>
      <x:c r="J176" s="282" t="n">
        <x:f>IF(G176="",0,XLOOKUP(G176,'平台参数'!$A$5:$A$9,'平台参数'!$H$5:$H$9,0))</x:f>
        <x:v>0</x:v>
      </x:c>
      <x:c r="K176" s="282" t="n">
        <x:f>IF(H176=0,0,H176*(1+I176)+J176)</x:f>
        <x:v>0</x:v>
      </x:c>
      <x:c r="L176" s="292"/>
      <x:c r="M176" s="292"/>
      <x:c r="N176" s="223"/>
      <x:c r="O176" s="282"/>
      <x:c r="P176" s="293" t="n">
        <x:f>IF(N176="",0,XLOOKUP(N176,'平台参数'!$A$5:$A$9,'平台参数'!$F$5:$F$9,0))</x:f>
        <x:v>0</x:v>
      </x:c>
      <x:c r="Q176" s="293" t="n">
        <x:f>IF(N176="",0,XLOOKUP(N176,'平台参数'!$A$5:$A$9,'平台参数'!$G$5:$G$9,0))</x:f>
        <x:v>0</x:v>
      </x:c>
      <x:c r="R176" s="282" t="n">
        <x:f>IF(N176="",0,XLOOKUP(N176,'平台参数'!$A$5:$A$9,'平台参数'!$I$5:$I$9,0))</x:f>
        <x:v>0</x:v>
      </x:c>
      <x:c r="S176" s="282" t="n">
        <x:f>IF(O176=0,0,O176*(1-P176-Q176)-R176)</x:f>
        <x:v>0</x:v>
      </x:c>
      <x:c r="T176" s="282" t="n">
        <x:f>S176-K176</x:f>
        <x:v>0</x:v>
      </x:c>
      <x:c r="U176" s="293" t="n">
        <x:f>IFERROR(T176/K176,0)</x:f>
        <x:v>0</x:v>
      </x:c>
      <x:c r="V176" s="282" t="n">
        <x:f>IF(F176="",0,IF(M176="",TODAY()-F176,M176-F176))</x:f>
        <x:v>0</x:v>
      </x:c>
      <x:c r="W176" s="223"/>
      <x:c r="X176" s="223"/>
      <x:c r="Y176" s="223"/>
      <x:c r="Z176" s="223"/>
    </x:row>
    <x:row r="177">
      <x:c r="A177" s="223"/>
      <x:c r="B177" s="223"/>
      <x:c r="C177" s="223"/>
      <x:c r="D177" s="223"/>
      <x:c r="E177" s="223"/>
      <x:c r="F177" s="292"/>
      <x:c r="G177" s="223"/>
      <x:c r="H177" s="282"/>
      <x:c r="I177" s="293" t="n">
        <x:f>IF(G177="",0,XLOOKUP(G177,'平台参数'!$A$5:$A$9,'平台参数'!$E$5:$E$9,0)+XLOOKUP(G177,'平台参数'!$A$5:$A$9,'平台参数'!$G$5:$G$9,0))</x:f>
        <x:v>0</x:v>
      </x:c>
      <x:c r="J177" s="282" t="n">
        <x:f>IF(G177="",0,XLOOKUP(G177,'平台参数'!$A$5:$A$9,'平台参数'!$H$5:$H$9,0))</x:f>
        <x:v>0</x:v>
      </x:c>
      <x:c r="K177" s="282" t="n">
        <x:f>IF(H177=0,0,H177*(1+I177)+J177)</x:f>
        <x:v>0</x:v>
      </x:c>
      <x:c r="L177" s="292"/>
      <x:c r="M177" s="292"/>
      <x:c r="N177" s="223"/>
      <x:c r="O177" s="282"/>
      <x:c r="P177" s="293" t="n">
        <x:f>IF(N177="",0,XLOOKUP(N177,'平台参数'!$A$5:$A$9,'平台参数'!$F$5:$F$9,0))</x:f>
        <x:v>0</x:v>
      </x:c>
      <x:c r="Q177" s="293" t="n">
        <x:f>IF(N177="",0,XLOOKUP(N177,'平台参数'!$A$5:$A$9,'平台参数'!$G$5:$G$9,0))</x:f>
        <x:v>0</x:v>
      </x:c>
      <x:c r="R177" s="282" t="n">
        <x:f>IF(N177="",0,XLOOKUP(N177,'平台参数'!$A$5:$A$9,'平台参数'!$I$5:$I$9,0))</x:f>
        <x:v>0</x:v>
      </x:c>
      <x:c r="S177" s="282" t="n">
        <x:f>IF(O177=0,0,O177*(1-P177-Q177)-R177)</x:f>
        <x:v>0</x:v>
      </x:c>
      <x:c r="T177" s="282" t="n">
        <x:f>S177-K177</x:f>
        <x:v>0</x:v>
      </x:c>
      <x:c r="U177" s="293" t="n">
        <x:f>IFERROR(T177/K177,0)</x:f>
        <x:v>0</x:v>
      </x:c>
      <x:c r="V177" s="282" t="n">
        <x:f>IF(F177="",0,IF(M177="",TODAY()-F177,M177-F177))</x:f>
        <x:v>0</x:v>
      </x:c>
      <x:c r="W177" s="223"/>
      <x:c r="X177" s="223"/>
      <x:c r="Y177" s="223"/>
      <x:c r="Z177" s="223"/>
    </x:row>
    <x:row r="178">
      <x:c r="A178" s="223"/>
      <x:c r="B178" s="223"/>
      <x:c r="C178" s="223"/>
      <x:c r="D178" s="223"/>
      <x:c r="E178" s="223"/>
      <x:c r="F178" s="292"/>
      <x:c r="G178" s="223"/>
      <x:c r="H178" s="282"/>
      <x:c r="I178" s="293" t="n">
        <x:f>IF(G178="",0,XLOOKUP(G178,'平台参数'!$A$5:$A$9,'平台参数'!$E$5:$E$9,0)+XLOOKUP(G178,'平台参数'!$A$5:$A$9,'平台参数'!$G$5:$G$9,0))</x:f>
        <x:v>0</x:v>
      </x:c>
      <x:c r="J178" s="282" t="n">
        <x:f>IF(G178="",0,XLOOKUP(G178,'平台参数'!$A$5:$A$9,'平台参数'!$H$5:$H$9,0))</x:f>
        <x:v>0</x:v>
      </x:c>
      <x:c r="K178" s="282" t="n">
        <x:f>IF(H178=0,0,H178*(1+I178)+J178)</x:f>
        <x:v>0</x:v>
      </x:c>
      <x:c r="L178" s="292"/>
      <x:c r="M178" s="292"/>
      <x:c r="N178" s="223"/>
      <x:c r="O178" s="282"/>
      <x:c r="P178" s="293" t="n">
        <x:f>IF(N178="",0,XLOOKUP(N178,'平台参数'!$A$5:$A$9,'平台参数'!$F$5:$F$9,0))</x:f>
        <x:v>0</x:v>
      </x:c>
      <x:c r="Q178" s="293" t="n">
        <x:f>IF(N178="",0,XLOOKUP(N178,'平台参数'!$A$5:$A$9,'平台参数'!$G$5:$G$9,0))</x:f>
        <x:v>0</x:v>
      </x:c>
      <x:c r="R178" s="282" t="n">
        <x:f>IF(N178="",0,XLOOKUP(N178,'平台参数'!$A$5:$A$9,'平台参数'!$I$5:$I$9,0))</x:f>
        <x:v>0</x:v>
      </x:c>
      <x:c r="S178" s="282" t="n">
        <x:f>IF(O178=0,0,O178*(1-P178-Q178)-R178)</x:f>
        <x:v>0</x:v>
      </x:c>
      <x:c r="T178" s="282" t="n">
        <x:f>S178-K178</x:f>
        <x:v>0</x:v>
      </x:c>
      <x:c r="U178" s="293" t="n">
        <x:f>IFERROR(T178/K178,0)</x:f>
        <x:v>0</x:v>
      </x:c>
      <x:c r="V178" s="282" t="n">
        <x:f>IF(F178="",0,IF(M178="",TODAY()-F178,M178-F178))</x:f>
        <x:v>0</x:v>
      </x:c>
      <x:c r="W178" s="223"/>
      <x:c r="X178" s="223"/>
      <x:c r="Y178" s="223"/>
      <x:c r="Z178" s="223"/>
    </x:row>
    <x:row r="179">
      <x:c r="A179" s="223"/>
      <x:c r="B179" s="223"/>
      <x:c r="C179" s="223"/>
      <x:c r="D179" s="223"/>
      <x:c r="E179" s="223"/>
      <x:c r="F179" s="292"/>
      <x:c r="G179" s="223"/>
      <x:c r="H179" s="282"/>
      <x:c r="I179" s="293" t="n">
        <x:f>IF(G179="",0,XLOOKUP(G179,'平台参数'!$A$5:$A$9,'平台参数'!$E$5:$E$9,0)+XLOOKUP(G179,'平台参数'!$A$5:$A$9,'平台参数'!$G$5:$G$9,0))</x:f>
        <x:v>0</x:v>
      </x:c>
      <x:c r="J179" s="282" t="n">
        <x:f>IF(G179="",0,XLOOKUP(G179,'平台参数'!$A$5:$A$9,'平台参数'!$H$5:$H$9,0))</x:f>
        <x:v>0</x:v>
      </x:c>
      <x:c r="K179" s="282" t="n">
        <x:f>IF(H179=0,0,H179*(1+I179)+J179)</x:f>
        <x:v>0</x:v>
      </x:c>
      <x:c r="L179" s="292"/>
      <x:c r="M179" s="292"/>
      <x:c r="N179" s="223"/>
      <x:c r="O179" s="282"/>
      <x:c r="P179" s="293" t="n">
        <x:f>IF(N179="",0,XLOOKUP(N179,'平台参数'!$A$5:$A$9,'平台参数'!$F$5:$F$9,0))</x:f>
        <x:v>0</x:v>
      </x:c>
      <x:c r="Q179" s="293" t="n">
        <x:f>IF(N179="",0,XLOOKUP(N179,'平台参数'!$A$5:$A$9,'平台参数'!$G$5:$G$9,0))</x:f>
        <x:v>0</x:v>
      </x:c>
      <x:c r="R179" s="282" t="n">
        <x:f>IF(N179="",0,XLOOKUP(N179,'平台参数'!$A$5:$A$9,'平台参数'!$I$5:$I$9,0))</x:f>
        <x:v>0</x:v>
      </x:c>
      <x:c r="S179" s="282" t="n">
        <x:f>IF(O179=0,0,O179*(1-P179-Q179)-R179)</x:f>
        <x:v>0</x:v>
      </x:c>
      <x:c r="T179" s="282" t="n">
        <x:f>S179-K179</x:f>
        <x:v>0</x:v>
      </x:c>
      <x:c r="U179" s="293" t="n">
        <x:f>IFERROR(T179/K179,0)</x:f>
        <x:v>0</x:v>
      </x:c>
      <x:c r="V179" s="282" t="n">
        <x:f>IF(F179="",0,IF(M179="",TODAY()-F179,M179-F179))</x:f>
        <x:v>0</x:v>
      </x:c>
      <x:c r="W179" s="223"/>
      <x:c r="X179" s="223"/>
      <x:c r="Y179" s="223"/>
      <x:c r="Z179" s="223"/>
    </x:row>
    <x:row r="180">
      <x:c r="A180" s="223"/>
      <x:c r="B180" s="223"/>
      <x:c r="C180" s="223"/>
      <x:c r="D180" s="223"/>
      <x:c r="E180" s="223"/>
      <x:c r="F180" s="292"/>
      <x:c r="G180" s="223"/>
      <x:c r="H180" s="282"/>
      <x:c r="I180" s="293" t="n">
        <x:f>IF(G180="",0,XLOOKUP(G180,'平台参数'!$A$5:$A$9,'平台参数'!$E$5:$E$9,0)+XLOOKUP(G180,'平台参数'!$A$5:$A$9,'平台参数'!$G$5:$G$9,0))</x:f>
        <x:v>0</x:v>
      </x:c>
      <x:c r="J180" s="282" t="n">
        <x:f>IF(G180="",0,XLOOKUP(G180,'平台参数'!$A$5:$A$9,'平台参数'!$H$5:$H$9,0))</x:f>
        <x:v>0</x:v>
      </x:c>
      <x:c r="K180" s="282" t="n">
        <x:f>IF(H180=0,0,H180*(1+I180)+J180)</x:f>
        <x:v>0</x:v>
      </x:c>
      <x:c r="L180" s="292"/>
      <x:c r="M180" s="292"/>
      <x:c r="N180" s="223"/>
      <x:c r="O180" s="282"/>
      <x:c r="P180" s="293" t="n">
        <x:f>IF(N180="",0,XLOOKUP(N180,'平台参数'!$A$5:$A$9,'平台参数'!$F$5:$F$9,0))</x:f>
        <x:v>0</x:v>
      </x:c>
      <x:c r="Q180" s="293" t="n">
        <x:f>IF(N180="",0,XLOOKUP(N180,'平台参数'!$A$5:$A$9,'平台参数'!$G$5:$G$9,0))</x:f>
        <x:v>0</x:v>
      </x:c>
      <x:c r="R180" s="282" t="n">
        <x:f>IF(N180="",0,XLOOKUP(N180,'平台参数'!$A$5:$A$9,'平台参数'!$I$5:$I$9,0))</x:f>
        <x:v>0</x:v>
      </x:c>
      <x:c r="S180" s="282" t="n">
        <x:f>IF(O180=0,0,O180*(1-P180-Q180)-R180)</x:f>
        <x:v>0</x:v>
      </x:c>
      <x:c r="T180" s="282" t="n">
        <x:f>S180-K180</x:f>
        <x:v>0</x:v>
      </x:c>
      <x:c r="U180" s="293" t="n">
        <x:f>IFERROR(T180/K180,0)</x:f>
        <x:v>0</x:v>
      </x:c>
      <x:c r="V180" s="282" t="n">
        <x:f>IF(F180="",0,IF(M180="",TODAY()-F180,M180-F180))</x:f>
        <x:v>0</x:v>
      </x:c>
      <x:c r="W180" s="223"/>
      <x:c r="X180" s="223"/>
      <x:c r="Y180" s="223"/>
      <x:c r="Z180" s="223"/>
    </x:row>
    <x:row r="181">
      <x:c r="A181" s="223"/>
      <x:c r="B181" s="223"/>
      <x:c r="C181" s="223"/>
      <x:c r="D181" s="223"/>
      <x:c r="E181" s="223"/>
      <x:c r="F181" s="292"/>
      <x:c r="G181" s="223"/>
      <x:c r="H181" s="282"/>
      <x:c r="I181" s="293" t="n">
        <x:f>IF(G181="",0,XLOOKUP(G181,'平台参数'!$A$5:$A$9,'平台参数'!$E$5:$E$9,0)+XLOOKUP(G181,'平台参数'!$A$5:$A$9,'平台参数'!$G$5:$G$9,0))</x:f>
        <x:v>0</x:v>
      </x:c>
      <x:c r="J181" s="282" t="n">
        <x:f>IF(G181="",0,XLOOKUP(G181,'平台参数'!$A$5:$A$9,'平台参数'!$H$5:$H$9,0))</x:f>
        <x:v>0</x:v>
      </x:c>
      <x:c r="K181" s="282" t="n">
        <x:f>IF(H181=0,0,H181*(1+I181)+J181)</x:f>
        <x:v>0</x:v>
      </x:c>
      <x:c r="L181" s="292"/>
      <x:c r="M181" s="292"/>
      <x:c r="N181" s="223"/>
      <x:c r="O181" s="282"/>
      <x:c r="P181" s="293" t="n">
        <x:f>IF(N181="",0,XLOOKUP(N181,'平台参数'!$A$5:$A$9,'平台参数'!$F$5:$F$9,0))</x:f>
        <x:v>0</x:v>
      </x:c>
      <x:c r="Q181" s="293" t="n">
        <x:f>IF(N181="",0,XLOOKUP(N181,'平台参数'!$A$5:$A$9,'平台参数'!$G$5:$G$9,0))</x:f>
        <x:v>0</x:v>
      </x:c>
      <x:c r="R181" s="282" t="n">
        <x:f>IF(N181="",0,XLOOKUP(N181,'平台参数'!$A$5:$A$9,'平台参数'!$I$5:$I$9,0))</x:f>
        <x:v>0</x:v>
      </x:c>
      <x:c r="S181" s="282" t="n">
        <x:f>IF(O181=0,0,O181*(1-P181-Q181)-R181)</x:f>
        <x:v>0</x:v>
      </x:c>
      <x:c r="T181" s="282" t="n">
        <x:f>S181-K181</x:f>
        <x:v>0</x:v>
      </x:c>
      <x:c r="U181" s="293" t="n">
        <x:f>IFERROR(T181/K181,0)</x:f>
        <x:v>0</x:v>
      </x:c>
      <x:c r="V181" s="282" t="n">
        <x:f>IF(F181="",0,IF(M181="",TODAY()-F181,M181-F181))</x:f>
        <x:v>0</x:v>
      </x:c>
      <x:c r="W181" s="223"/>
      <x:c r="X181" s="223"/>
      <x:c r="Y181" s="223"/>
      <x:c r="Z181" s="223"/>
    </x:row>
    <x:row r="182">
      <x:c r="A182" s="223"/>
      <x:c r="B182" s="223"/>
      <x:c r="C182" s="223"/>
      <x:c r="D182" s="223"/>
      <x:c r="E182" s="223"/>
      <x:c r="F182" s="292"/>
      <x:c r="G182" s="223"/>
      <x:c r="H182" s="282"/>
      <x:c r="I182" s="293" t="n">
        <x:f>IF(G182="",0,XLOOKUP(G182,'平台参数'!$A$5:$A$9,'平台参数'!$E$5:$E$9,0)+XLOOKUP(G182,'平台参数'!$A$5:$A$9,'平台参数'!$G$5:$G$9,0))</x:f>
        <x:v>0</x:v>
      </x:c>
      <x:c r="J182" s="282" t="n">
        <x:f>IF(G182="",0,XLOOKUP(G182,'平台参数'!$A$5:$A$9,'平台参数'!$H$5:$H$9,0))</x:f>
        <x:v>0</x:v>
      </x:c>
      <x:c r="K182" s="282" t="n">
        <x:f>IF(H182=0,0,H182*(1+I182)+J182)</x:f>
        <x:v>0</x:v>
      </x:c>
      <x:c r="L182" s="292"/>
      <x:c r="M182" s="292"/>
      <x:c r="N182" s="223"/>
      <x:c r="O182" s="282"/>
      <x:c r="P182" s="293" t="n">
        <x:f>IF(N182="",0,XLOOKUP(N182,'平台参数'!$A$5:$A$9,'平台参数'!$F$5:$F$9,0))</x:f>
        <x:v>0</x:v>
      </x:c>
      <x:c r="Q182" s="293" t="n">
        <x:f>IF(N182="",0,XLOOKUP(N182,'平台参数'!$A$5:$A$9,'平台参数'!$G$5:$G$9,0))</x:f>
        <x:v>0</x:v>
      </x:c>
      <x:c r="R182" s="282" t="n">
        <x:f>IF(N182="",0,XLOOKUP(N182,'平台参数'!$A$5:$A$9,'平台参数'!$I$5:$I$9,0))</x:f>
        <x:v>0</x:v>
      </x:c>
      <x:c r="S182" s="282" t="n">
        <x:f>IF(O182=0,0,O182*(1-P182-Q182)-R182)</x:f>
        <x:v>0</x:v>
      </x:c>
      <x:c r="T182" s="282" t="n">
        <x:f>S182-K182</x:f>
        <x:v>0</x:v>
      </x:c>
      <x:c r="U182" s="293" t="n">
        <x:f>IFERROR(T182/K182,0)</x:f>
        <x:v>0</x:v>
      </x:c>
      <x:c r="V182" s="282" t="n">
        <x:f>IF(F182="",0,IF(M182="",TODAY()-F182,M182-F182))</x:f>
        <x:v>0</x:v>
      </x:c>
      <x:c r="W182" s="223"/>
      <x:c r="X182" s="223"/>
      <x:c r="Y182" s="223"/>
      <x:c r="Z182" s="223"/>
    </x:row>
    <x:row r="183">
      <x:c r="A183" s="223"/>
      <x:c r="B183" s="223"/>
      <x:c r="C183" s="223"/>
      <x:c r="D183" s="223"/>
      <x:c r="E183" s="223"/>
      <x:c r="F183" s="292"/>
      <x:c r="G183" s="223"/>
      <x:c r="H183" s="282"/>
      <x:c r="I183" s="293" t="n">
        <x:f>IF(G183="",0,XLOOKUP(G183,'平台参数'!$A$5:$A$9,'平台参数'!$E$5:$E$9,0)+XLOOKUP(G183,'平台参数'!$A$5:$A$9,'平台参数'!$G$5:$G$9,0))</x:f>
        <x:v>0</x:v>
      </x:c>
      <x:c r="J183" s="282" t="n">
        <x:f>IF(G183="",0,XLOOKUP(G183,'平台参数'!$A$5:$A$9,'平台参数'!$H$5:$H$9,0))</x:f>
        <x:v>0</x:v>
      </x:c>
      <x:c r="K183" s="282" t="n">
        <x:f>IF(H183=0,0,H183*(1+I183)+J183)</x:f>
        <x:v>0</x:v>
      </x:c>
      <x:c r="L183" s="292"/>
      <x:c r="M183" s="292"/>
      <x:c r="N183" s="223"/>
      <x:c r="O183" s="282"/>
      <x:c r="P183" s="293" t="n">
        <x:f>IF(N183="",0,XLOOKUP(N183,'平台参数'!$A$5:$A$9,'平台参数'!$F$5:$F$9,0))</x:f>
        <x:v>0</x:v>
      </x:c>
      <x:c r="Q183" s="293" t="n">
        <x:f>IF(N183="",0,XLOOKUP(N183,'平台参数'!$A$5:$A$9,'平台参数'!$G$5:$G$9,0))</x:f>
        <x:v>0</x:v>
      </x:c>
      <x:c r="R183" s="282" t="n">
        <x:f>IF(N183="",0,XLOOKUP(N183,'平台参数'!$A$5:$A$9,'平台参数'!$I$5:$I$9,0))</x:f>
        <x:v>0</x:v>
      </x:c>
      <x:c r="S183" s="282" t="n">
        <x:f>IF(O183=0,0,O183*(1-P183-Q183)-R183)</x:f>
        <x:v>0</x:v>
      </x:c>
      <x:c r="T183" s="282" t="n">
        <x:f>S183-K183</x:f>
        <x:v>0</x:v>
      </x:c>
      <x:c r="U183" s="293" t="n">
        <x:f>IFERROR(T183/K183,0)</x:f>
        <x:v>0</x:v>
      </x:c>
      <x:c r="V183" s="282" t="n">
        <x:f>IF(F183="",0,IF(M183="",TODAY()-F183,M183-F183))</x:f>
        <x:v>0</x:v>
      </x:c>
      <x:c r="W183" s="223"/>
      <x:c r="X183" s="223"/>
      <x:c r="Y183" s="223"/>
      <x:c r="Z183" s="223"/>
    </x:row>
    <x:row r="184">
      <x:c r="A184" s="223"/>
      <x:c r="B184" s="223"/>
      <x:c r="C184" s="223"/>
      <x:c r="D184" s="223"/>
      <x:c r="E184" s="223"/>
      <x:c r="F184" s="292"/>
      <x:c r="G184" s="223"/>
      <x:c r="H184" s="282"/>
      <x:c r="I184" s="293" t="n">
        <x:f>IF(G184="",0,XLOOKUP(G184,'平台参数'!$A$5:$A$9,'平台参数'!$E$5:$E$9,0)+XLOOKUP(G184,'平台参数'!$A$5:$A$9,'平台参数'!$G$5:$G$9,0))</x:f>
        <x:v>0</x:v>
      </x:c>
      <x:c r="J184" s="282" t="n">
        <x:f>IF(G184="",0,XLOOKUP(G184,'平台参数'!$A$5:$A$9,'平台参数'!$H$5:$H$9,0))</x:f>
        <x:v>0</x:v>
      </x:c>
      <x:c r="K184" s="282" t="n">
        <x:f>IF(H184=0,0,H184*(1+I184)+J184)</x:f>
        <x:v>0</x:v>
      </x:c>
      <x:c r="L184" s="292"/>
      <x:c r="M184" s="292"/>
      <x:c r="N184" s="223"/>
      <x:c r="O184" s="282"/>
      <x:c r="P184" s="293" t="n">
        <x:f>IF(N184="",0,XLOOKUP(N184,'平台参数'!$A$5:$A$9,'平台参数'!$F$5:$F$9,0))</x:f>
        <x:v>0</x:v>
      </x:c>
      <x:c r="Q184" s="293" t="n">
        <x:f>IF(N184="",0,XLOOKUP(N184,'平台参数'!$A$5:$A$9,'平台参数'!$G$5:$G$9,0))</x:f>
        <x:v>0</x:v>
      </x:c>
      <x:c r="R184" s="282" t="n">
        <x:f>IF(N184="",0,XLOOKUP(N184,'平台参数'!$A$5:$A$9,'平台参数'!$I$5:$I$9,0))</x:f>
        <x:v>0</x:v>
      </x:c>
      <x:c r="S184" s="282" t="n">
        <x:f>IF(O184=0,0,O184*(1-P184-Q184)-R184)</x:f>
        <x:v>0</x:v>
      </x:c>
      <x:c r="T184" s="282" t="n">
        <x:f>S184-K184</x:f>
        <x:v>0</x:v>
      </x:c>
      <x:c r="U184" s="293" t="n">
        <x:f>IFERROR(T184/K184,0)</x:f>
        <x:v>0</x:v>
      </x:c>
      <x:c r="V184" s="282" t="n">
        <x:f>IF(F184="",0,IF(M184="",TODAY()-F184,M184-F184))</x:f>
        <x:v>0</x:v>
      </x:c>
      <x:c r="W184" s="223"/>
      <x:c r="X184" s="223"/>
      <x:c r="Y184" s="223"/>
      <x:c r="Z184" s="223"/>
    </x:row>
    <x:row r="185">
      <x:c r="A185" s="223"/>
      <x:c r="B185" s="223"/>
      <x:c r="C185" s="223"/>
      <x:c r="D185" s="223"/>
      <x:c r="E185" s="223"/>
      <x:c r="F185" s="292"/>
      <x:c r="G185" s="223"/>
      <x:c r="H185" s="282"/>
      <x:c r="I185" s="293" t="n">
        <x:f>IF(G185="",0,XLOOKUP(G185,'平台参数'!$A$5:$A$9,'平台参数'!$E$5:$E$9,0)+XLOOKUP(G185,'平台参数'!$A$5:$A$9,'平台参数'!$G$5:$G$9,0))</x:f>
        <x:v>0</x:v>
      </x:c>
      <x:c r="J185" s="282" t="n">
        <x:f>IF(G185="",0,XLOOKUP(G185,'平台参数'!$A$5:$A$9,'平台参数'!$H$5:$H$9,0))</x:f>
        <x:v>0</x:v>
      </x:c>
      <x:c r="K185" s="282" t="n">
        <x:f>IF(H185=0,0,H185*(1+I185)+J185)</x:f>
        <x:v>0</x:v>
      </x:c>
      <x:c r="L185" s="292"/>
      <x:c r="M185" s="292"/>
      <x:c r="N185" s="223"/>
      <x:c r="O185" s="282"/>
      <x:c r="P185" s="293" t="n">
        <x:f>IF(N185="",0,XLOOKUP(N185,'平台参数'!$A$5:$A$9,'平台参数'!$F$5:$F$9,0))</x:f>
        <x:v>0</x:v>
      </x:c>
      <x:c r="Q185" s="293" t="n">
        <x:f>IF(N185="",0,XLOOKUP(N185,'平台参数'!$A$5:$A$9,'平台参数'!$G$5:$G$9,0))</x:f>
        <x:v>0</x:v>
      </x:c>
      <x:c r="R185" s="282" t="n">
        <x:f>IF(N185="",0,XLOOKUP(N185,'平台参数'!$A$5:$A$9,'平台参数'!$I$5:$I$9,0))</x:f>
        <x:v>0</x:v>
      </x:c>
      <x:c r="S185" s="282" t="n">
        <x:f>IF(O185=0,0,O185*(1-P185-Q185)-R185)</x:f>
        <x:v>0</x:v>
      </x:c>
      <x:c r="T185" s="282" t="n">
        <x:f>S185-K185</x:f>
        <x:v>0</x:v>
      </x:c>
      <x:c r="U185" s="293" t="n">
        <x:f>IFERROR(T185/K185,0)</x:f>
        <x:v>0</x:v>
      </x:c>
      <x:c r="V185" s="282" t="n">
        <x:f>IF(F185="",0,IF(M185="",TODAY()-F185,M185-F185))</x:f>
        <x:v>0</x:v>
      </x:c>
      <x:c r="W185" s="223"/>
      <x:c r="X185" s="223"/>
      <x:c r="Y185" s="223"/>
      <x:c r="Z185" s="223"/>
    </x:row>
    <x:row r="186">
      <x:c r="A186" s="223"/>
      <x:c r="B186" s="223"/>
      <x:c r="C186" s="223"/>
      <x:c r="D186" s="223"/>
      <x:c r="E186" s="223"/>
      <x:c r="F186" s="292"/>
      <x:c r="G186" s="223"/>
      <x:c r="H186" s="282"/>
      <x:c r="I186" s="293" t="n">
        <x:f>IF(G186="",0,XLOOKUP(G186,'平台参数'!$A$5:$A$9,'平台参数'!$E$5:$E$9,0)+XLOOKUP(G186,'平台参数'!$A$5:$A$9,'平台参数'!$G$5:$G$9,0))</x:f>
        <x:v>0</x:v>
      </x:c>
      <x:c r="J186" s="282" t="n">
        <x:f>IF(G186="",0,XLOOKUP(G186,'平台参数'!$A$5:$A$9,'平台参数'!$H$5:$H$9,0))</x:f>
        <x:v>0</x:v>
      </x:c>
      <x:c r="K186" s="282" t="n">
        <x:f>IF(H186=0,0,H186*(1+I186)+J186)</x:f>
        <x:v>0</x:v>
      </x:c>
      <x:c r="L186" s="292"/>
      <x:c r="M186" s="292"/>
      <x:c r="N186" s="223"/>
      <x:c r="O186" s="282"/>
      <x:c r="P186" s="293" t="n">
        <x:f>IF(N186="",0,XLOOKUP(N186,'平台参数'!$A$5:$A$9,'平台参数'!$F$5:$F$9,0))</x:f>
        <x:v>0</x:v>
      </x:c>
      <x:c r="Q186" s="293" t="n">
        <x:f>IF(N186="",0,XLOOKUP(N186,'平台参数'!$A$5:$A$9,'平台参数'!$G$5:$G$9,0))</x:f>
        <x:v>0</x:v>
      </x:c>
      <x:c r="R186" s="282" t="n">
        <x:f>IF(N186="",0,XLOOKUP(N186,'平台参数'!$A$5:$A$9,'平台参数'!$I$5:$I$9,0))</x:f>
        <x:v>0</x:v>
      </x:c>
      <x:c r="S186" s="282" t="n">
        <x:f>IF(O186=0,0,O186*(1-P186-Q186)-R186)</x:f>
        <x:v>0</x:v>
      </x:c>
      <x:c r="T186" s="282" t="n">
        <x:f>S186-K186</x:f>
        <x:v>0</x:v>
      </x:c>
      <x:c r="U186" s="293" t="n">
        <x:f>IFERROR(T186/K186,0)</x:f>
        <x:v>0</x:v>
      </x:c>
      <x:c r="V186" s="282" t="n">
        <x:f>IF(F186="",0,IF(M186="",TODAY()-F186,M186-F186))</x:f>
        <x:v>0</x:v>
      </x:c>
      <x:c r="W186" s="223"/>
      <x:c r="X186" s="223"/>
      <x:c r="Y186" s="223"/>
      <x:c r="Z186" s="223"/>
    </x:row>
    <x:row r="187">
      <x:c r="A187" s="223"/>
      <x:c r="B187" s="223"/>
      <x:c r="C187" s="223"/>
      <x:c r="D187" s="223"/>
      <x:c r="E187" s="223"/>
      <x:c r="F187" s="292"/>
      <x:c r="G187" s="223"/>
      <x:c r="H187" s="282"/>
      <x:c r="I187" s="293" t="n">
        <x:f>IF(G187="",0,XLOOKUP(G187,'平台参数'!$A$5:$A$9,'平台参数'!$E$5:$E$9,0)+XLOOKUP(G187,'平台参数'!$A$5:$A$9,'平台参数'!$G$5:$G$9,0))</x:f>
        <x:v>0</x:v>
      </x:c>
      <x:c r="J187" s="282" t="n">
        <x:f>IF(G187="",0,XLOOKUP(G187,'平台参数'!$A$5:$A$9,'平台参数'!$H$5:$H$9,0))</x:f>
        <x:v>0</x:v>
      </x:c>
      <x:c r="K187" s="282" t="n">
        <x:f>IF(H187=0,0,H187*(1+I187)+J187)</x:f>
        <x:v>0</x:v>
      </x:c>
      <x:c r="L187" s="292"/>
      <x:c r="M187" s="292"/>
      <x:c r="N187" s="223"/>
      <x:c r="O187" s="282"/>
      <x:c r="P187" s="293" t="n">
        <x:f>IF(N187="",0,XLOOKUP(N187,'平台参数'!$A$5:$A$9,'平台参数'!$F$5:$F$9,0))</x:f>
        <x:v>0</x:v>
      </x:c>
      <x:c r="Q187" s="293" t="n">
        <x:f>IF(N187="",0,XLOOKUP(N187,'平台参数'!$A$5:$A$9,'平台参数'!$G$5:$G$9,0))</x:f>
        <x:v>0</x:v>
      </x:c>
      <x:c r="R187" s="282" t="n">
        <x:f>IF(N187="",0,XLOOKUP(N187,'平台参数'!$A$5:$A$9,'平台参数'!$I$5:$I$9,0))</x:f>
        <x:v>0</x:v>
      </x:c>
      <x:c r="S187" s="282" t="n">
        <x:f>IF(O187=0,0,O187*(1-P187-Q187)-R187)</x:f>
        <x:v>0</x:v>
      </x:c>
      <x:c r="T187" s="282" t="n">
        <x:f>S187-K187</x:f>
        <x:v>0</x:v>
      </x:c>
      <x:c r="U187" s="293" t="n">
        <x:f>IFERROR(T187/K187,0)</x:f>
        <x:v>0</x:v>
      </x:c>
      <x:c r="V187" s="282" t="n">
        <x:f>IF(F187="",0,IF(M187="",TODAY()-F187,M187-F187))</x:f>
        <x:v>0</x:v>
      </x:c>
      <x:c r="W187" s="223"/>
      <x:c r="X187" s="223"/>
      <x:c r="Y187" s="223"/>
      <x:c r="Z187" s="223"/>
    </x:row>
    <x:row r="188">
      <x:c r="A188" s="223"/>
      <x:c r="B188" s="223"/>
      <x:c r="C188" s="223"/>
      <x:c r="D188" s="223"/>
      <x:c r="E188" s="223"/>
      <x:c r="F188" s="292"/>
      <x:c r="G188" s="223"/>
      <x:c r="H188" s="282"/>
      <x:c r="I188" s="293" t="n">
        <x:f>IF(G188="",0,XLOOKUP(G188,'平台参数'!$A$5:$A$9,'平台参数'!$E$5:$E$9,0)+XLOOKUP(G188,'平台参数'!$A$5:$A$9,'平台参数'!$G$5:$G$9,0))</x:f>
        <x:v>0</x:v>
      </x:c>
      <x:c r="J188" s="282" t="n">
        <x:f>IF(G188="",0,XLOOKUP(G188,'平台参数'!$A$5:$A$9,'平台参数'!$H$5:$H$9,0))</x:f>
        <x:v>0</x:v>
      </x:c>
      <x:c r="K188" s="282" t="n">
        <x:f>IF(H188=0,0,H188*(1+I188)+J188)</x:f>
        <x:v>0</x:v>
      </x:c>
      <x:c r="L188" s="292"/>
      <x:c r="M188" s="292"/>
      <x:c r="N188" s="223"/>
      <x:c r="O188" s="282"/>
      <x:c r="P188" s="293" t="n">
        <x:f>IF(N188="",0,XLOOKUP(N188,'平台参数'!$A$5:$A$9,'平台参数'!$F$5:$F$9,0))</x:f>
        <x:v>0</x:v>
      </x:c>
      <x:c r="Q188" s="293" t="n">
        <x:f>IF(N188="",0,XLOOKUP(N188,'平台参数'!$A$5:$A$9,'平台参数'!$G$5:$G$9,0))</x:f>
        <x:v>0</x:v>
      </x:c>
      <x:c r="R188" s="282" t="n">
        <x:f>IF(N188="",0,XLOOKUP(N188,'平台参数'!$A$5:$A$9,'平台参数'!$I$5:$I$9,0))</x:f>
        <x:v>0</x:v>
      </x:c>
      <x:c r="S188" s="282" t="n">
        <x:f>IF(O188=0,0,O188*(1-P188-Q188)-R188)</x:f>
        <x:v>0</x:v>
      </x:c>
      <x:c r="T188" s="282" t="n">
        <x:f>S188-K188</x:f>
        <x:v>0</x:v>
      </x:c>
      <x:c r="U188" s="293" t="n">
        <x:f>IFERROR(T188/K188,0)</x:f>
        <x:v>0</x:v>
      </x:c>
      <x:c r="V188" s="282" t="n">
        <x:f>IF(F188="",0,IF(M188="",TODAY()-F188,M188-F188))</x:f>
        <x:v>0</x:v>
      </x:c>
      <x:c r="W188" s="223"/>
      <x:c r="X188" s="223"/>
      <x:c r="Y188" s="223"/>
      <x:c r="Z188" s="223"/>
    </x:row>
    <x:row r="189">
      <x:c r="A189" s="223"/>
      <x:c r="B189" s="223"/>
      <x:c r="C189" s="223"/>
      <x:c r="D189" s="223"/>
      <x:c r="E189" s="223"/>
      <x:c r="F189" s="292"/>
      <x:c r="G189" s="223"/>
      <x:c r="H189" s="282"/>
      <x:c r="I189" s="293" t="n">
        <x:f>IF(G189="",0,XLOOKUP(G189,'平台参数'!$A$5:$A$9,'平台参数'!$E$5:$E$9,0)+XLOOKUP(G189,'平台参数'!$A$5:$A$9,'平台参数'!$G$5:$G$9,0))</x:f>
        <x:v>0</x:v>
      </x:c>
      <x:c r="J189" s="282" t="n">
        <x:f>IF(G189="",0,XLOOKUP(G189,'平台参数'!$A$5:$A$9,'平台参数'!$H$5:$H$9,0))</x:f>
        <x:v>0</x:v>
      </x:c>
      <x:c r="K189" s="282" t="n">
        <x:f>IF(H189=0,0,H189*(1+I189)+J189)</x:f>
        <x:v>0</x:v>
      </x:c>
      <x:c r="L189" s="292"/>
      <x:c r="M189" s="292"/>
      <x:c r="N189" s="223"/>
      <x:c r="O189" s="282"/>
      <x:c r="P189" s="293" t="n">
        <x:f>IF(N189="",0,XLOOKUP(N189,'平台参数'!$A$5:$A$9,'平台参数'!$F$5:$F$9,0))</x:f>
        <x:v>0</x:v>
      </x:c>
      <x:c r="Q189" s="293" t="n">
        <x:f>IF(N189="",0,XLOOKUP(N189,'平台参数'!$A$5:$A$9,'平台参数'!$G$5:$G$9,0))</x:f>
        <x:v>0</x:v>
      </x:c>
      <x:c r="R189" s="282" t="n">
        <x:f>IF(N189="",0,XLOOKUP(N189,'平台参数'!$A$5:$A$9,'平台参数'!$I$5:$I$9,0))</x:f>
        <x:v>0</x:v>
      </x:c>
      <x:c r="S189" s="282" t="n">
        <x:f>IF(O189=0,0,O189*(1-P189-Q189)-R189)</x:f>
        <x:v>0</x:v>
      </x:c>
      <x:c r="T189" s="282" t="n">
        <x:f>S189-K189</x:f>
        <x:v>0</x:v>
      </x:c>
      <x:c r="U189" s="293" t="n">
        <x:f>IFERROR(T189/K189,0)</x:f>
        <x:v>0</x:v>
      </x:c>
      <x:c r="V189" s="282" t="n">
        <x:f>IF(F189="",0,IF(M189="",TODAY()-F189,M189-F189))</x:f>
        <x:v>0</x:v>
      </x:c>
      <x:c r="W189" s="223"/>
      <x:c r="X189" s="223"/>
      <x:c r="Y189" s="223"/>
      <x:c r="Z189" s="223"/>
    </x:row>
    <x:row r="190">
      <x:c r="A190" s="223"/>
      <x:c r="B190" s="223"/>
      <x:c r="C190" s="223"/>
      <x:c r="D190" s="223"/>
      <x:c r="E190" s="223"/>
      <x:c r="F190" s="292"/>
      <x:c r="G190" s="223"/>
      <x:c r="H190" s="282"/>
      <x:c r="I190" s="293" t="n">
        <x:f>IF(G190="",0,XLOOKUP(G190,'平台参数'!$A$5:$A$9,'平台参数'!$E$5:$E$9,0)+XLOOKUP(G190,'平台参数'!$A$5:$A$9,'平台参数'!$G$5:$G$9,0))</x:f>
        <x:v>0</x:v>
      </x:c>
      <x:c r="J190" s="282" t="n">
        <x:f>IF(G190="",0,XLOOKUP(G190,'平台参数'!$A$5:$A$9,'平台参数'!$H$5:$H$9,0))</x:f>
        <x:v>0</x:v>
      </x:c>
      <x:c r="K190" s="282" t="n">
        <x:f>IF(H190=0,0,H190*(1+I190)+J190)</x:f>
        <x:v>0</x:v>
      </x:c>
      <x:c r="L190" s="292"/>
      <x:c r="M190" s="292"/>
      <x:c r="N190" s="223"/>
      <x:c r="O190" s="282"/>
      <x:c r="P190" s="293" t="n">
        <x:f>IF(N190="",0,XLOOKUP(N190,'平台参数'!$A$5:$A$9,'平台参数'!$F$5:$F$9,0))</x:f>
        <x:v>0</x:v>
      </x:c>
      <x:c r="Q190" s="293" t="n">
        <x:f>IF(N190="",0,XLOOKUP(N190,'平台参数'!$A$5:$A$9,'平台参数'!$G$5:$G$9,0))</x:f>
        <x:v>0</x:v>
      </x:c>
      <x:c r="R190" s="282" t="n">
        <x:f>IF(N190="",0,XLOOKUP(N190,'平台参数'!$A$5:$A$9,'平台参数'!$I$5:$I$9,0))</x:f>
        <x:v>0</x:v>
      </x:c>
      <x:c r="S190" s="282" t="n">
        <x:f>IF(O190=0,0,O190*(1-P190-Q190)-R190)</x:f>
        <x:v>0</x:v>
      </x:c>
      <x:c r="T190" s="282" t="n">
        <x:f>S190-K190</x:f>
        <x:v>0</x:v>
      </x:c>
      <x:c r="U190" s="293" t="n">
        <x:f>IFERROR(T190/K190,0)</x:f>
        <x:v>0</x:v>
      </x:c>
      <x:c r="V190" s="282" t="n">
        <x:f>IF(F190="",0,IF(M190="",TODAY()-F190,M190-F190))</x:f>
        <x:v>0</x:v>
      </x:c>
      <x:c r="W190" s="223"/>
      <x:c r="X190" s="223"/>
      <x:c r="Y190" s="223"/>
      <x:c r="Z190" s="223"/>
    </x:row>
    <x:row r="191">
      <x:c r="A191" s="223"/>
      <x:c r="B191" s="223"/>
      <x:c r="C191" s="223"/>
      <x:c r="D191" s="223"/>
      <x:c r="E191" s="223"/>
      <x:c r="F191" s="292"/>
      <x:c r="G191" s="223"/>
      <x:c r="H191" s="282"/>
      <x:c r="I191" s="293" t="n">
        <x:f>IF(G191="",0,XLOOKUP(G191,'平台参数'!$A$5:$A$9,'平台参数'!$E$5:$E$9,0)+XLOOKUP(G191,'平台参数'!$A$5:$A$9,'平台参数'!$G$5:$G$9,0))</x:f>
        <x:v>0</x:v>
      </x:c>
      <x:c r="J191" s="282" t="n">
        <x:f>IF(G191="",0,XLOOKUP(G191,'平台参数'!$A$5:$A$9,'平台参数'!$H$5:$H$9,0))</x:f>
        <x:v>0</x:v>
      </x:c>
      <x:c r="K191" s="282" t="n">
        <x:f>IF(H191=0,0,H191*(1+I191)+J191)</x:f>
        <x:v>0</x:v>
      </x:c>
      <x:c r="L191" s="292"/>
      <x:c r="M191" s="292"/>
      <x:c r="N191" s="223"/>
      <x:c r="O191" s="282"/>
      <x:c r="P191" s="293" t="n">
        <x:f>IF(N191="",0,XLOOKUP(N191,'平台参数'!$A$5:$A$9,'平台参数'!$F$5:$F$9,0))</x:f>
        <x:v>0</x:v>
      </x:c>
      <x:c r="Q191" s="293" t="n">
        <x:f>IF(N191="",0,XLOOKUP(N191,'平台参数'!$A$5:$A$9,'平台参数'!$G$5:$G$9,0))</x:f>
        <x:v>0</x:v>
      </x:c>
      <x:c r="R191" s="282" t="n">
        <x:f>IF(N191="",0,XLOOKUP(N191,'平台参数'!$A$5:$A$9,'平台参数'!$I$5:$I$9,0))</x:f>
        <x:v>0</x:v>
      </x:c>
      <x:c r="S191" s="282" t="n">
        <x:f>IF(O191=0,0,O191*(1-P191-Q191)-R191)</x:f>
        <x:v>0</x:v>
      </x:c>
      <x:c r="T191" s="282" t="n">
        <x:f>S191-K191</x:f>
        <x:v>0</x:v>
      </x:c>
      <x:c r="U191" s="293" t="n">
        <x:f>IFERROR(T191/K191,0)</x:f>
        <x:v>0</x:v>
      </x:c>
      <x:c r="V191" s="282" t="n">
        <x:f>IF(F191="",0,IF(M191="",TODAY()-F191,M191-F191))</x:f>
        <x:v>0</x:v>
      </x:c>
      <x:c r="W191" s="223"/>
      <x:c r="X191" s="223"/>
      <x:c r="Y191" s="223"/>
      <x:c r="Z191" s="223"/>
    </x:row>
    <x:row r="192">
      <x:c r="A192" s="223"/>
      <x:c r="B192" s="223"/>
      <x:c r="C192" s="223"/>
      <x:c r="D192" s="223"/>
      <x:c r="E192" s="223"/>
      <x:c r="F192" s="292"/>
      <x:c r="G192" s="223"/>
      <x:c r="H192" s="282"/>
      <x:c r="I192" s="293" t="n">
        <x:f>IF(G192="",0,XLOOKUP(G192,'平台参数'!$A$5:$A$9,'平台参数'!$E$5:$E$9,0)+XLOOKUP(G192,'平台参数'!$A$5:$A$9,'平台参数'!$G$5:$G$9,0))</x:f>
        <x:v>0</x:v>
      </x:c>
      <x:c r="J192" s="282" t="n">
        <x:f>IF(G192="",0,XLOOKUP(G192,'平台参数'!$A$5:$A$9,'平台参数'!$H$5:$H$9,0))</x:f>
        <x:v>0</x:v>
      </x:c>
      <x:c r="K192" s="282" t="n">
        <x:f>IF(H192=0,0,H192*(1+I192)+J192)</x:f>
        <x:v>0</x:v>
      </x:c>
      <x:c r="L192" s="292"/>
      <x:c r="M192" s="292"/>
      <x:c r="N192" s="223"/>
      <x:c r="O192" s="282"/>
      <x:c r="P192" s="293" t="n">
        <x:f>IF(N192="",0,XLOOKUP(N192,'平台参数'!$A$5:$A$9,'平台参数'!$F$5:$F$9,0))</x:f>
        <x:v>0</x:v>
      </x:c>
      <x:c r="Q192" s="293" t="n">
        <x:f>IF(N192="",0,XLOOKUP(N192,'平台参数'!$A$5:$A$9,'平台参数'!$G$5:$G$9,0))</x:f>
        <x:v>0</x:v>
      </x:c>
      <x:c r="R192" s="282" t="n">
        <x:f>IF(N192="",0,XLOOKUP(N192,'平台参数'!$A$5:$A$9,'平台参数'!$I$5:$I$9,0))</x:f>
        <x:v>0</x:v>
      </x:c>
      <x:c r="S192" s="282" t="n">
        <x:f>IF(O192=0,0,O192*(1-P192-Q192)-R192)</x:f>
        <x:v>0</x:v>
      </x:c>
      <x:c r="T192" s="282" t="n">
        <x:f>S192-K192</x:f>
        <x:v>0</x:v>
      </x:c>
      <x:c r="U192" s="293" t="n">
        <x:f>IFERROR(T192/K192,0)</x:f>
        <x:v>0</x:v>
      </x:c>
      <x:c r="V192" s="282" t="n">
        <x:f>IF(F192="",0,IF(M192="",TODAY()-F192,M192-F192))</x:f>
        <x:v>0</x:v>
      </x:c>
      <x:c r="W192" s="223"/>
      <x:c r="X192" s="223"/>
      <x:c r="Y192" s="223"/>
      <x:c r="Z192" s="223"/>
    </x:row>
    <x:row r="193">
      <x:c r="A193" s="223"/>
      <x:c r="B193" s="223"/>
      <x:c r="C193" s="223"/>
      <x:c r="D193" s="223"/>
      <x:c r="E193" s="223"/>
      <x:c r="F193" s="292"/>
      <x:c r="G193" s="223"/>
      <x:c r="H193" s="282"/>
      <x:c r="I193" s="293" t="n">
        <x:f>IF(G193="",0,XLOOKUP(G193,'平台参数'!$A$5:$A$9,'平台参数'!$E$5:$E$9,0)+XLOOKUP(G193,'平台参数'!$A$5:$A$9,'平台参数'!$G$5:$G$9,0))</x:f>
        <x:v>0</x:v>
      </x:c>
      <x:c r="J193" s="282" t="n">
        <x:f>IF(G193="",0,XLOOKUP(G193,'平台参数'!$A$5:$A$9,'平台参数'!$H$5:$H$9,0))</x:f>
        <x:v>0</x:v>
      </x:c>
      <x:c r="K193" s="282" t="n">
        <x:f>IF(H193=0,0,H193*(1+I193)+J193)</x:f>
        <x:v>0</x:v>
      </x:c>
      <x:c r="L193" s="292"/>
      <x:c r="M193" s="292"/>
      <x:c r="N193" s="223"/>
      <x:c r="O193" s="282"/>
      <x:c r="P193" s="293" t="n">
        <x:f>IF(N193="",0,XLOOKUP(N193,'平台参数'!$A$5:$A$9,'平台参数'!$F$5:$F$9,0))</x:f>
        <x:v>0</x:v>
      </x:c>
      <x:c r="Q193" s="293" t="n">
        <x:f>IF(N193="",0,XLOOKUP(N193,'平台参数'!$A$5:$A$9,'平台参数'!$G$5:$G$9,0))</x:f>
        <x:v>0</x:v>
      </x:c>
      <x:c r="R193" s="282" t="n">
        <x:f>IF(N193="",0,XLOOKUP(N193,'平台参数'!$A$5:$A$9,'平台参数'!$I$5:$I$9,0))</x:f>
        <x:v>0</x:v>
      </x:c>
      <x:c r="S193" s="282" t="n">
        <x:f>IF(O193=0,0,O193*(1-P193-Q193)-R193)</x:f>
        <x:v>0</x:v>
      </x:c>
      <x:c r="T193" s="282" t="n">
        <x:f>S193-K193</x:f>
        <x:v>0</x:v>
      </x:c>
      <x:c r="U193" s="293" t="n">
        <x:f>IFERROR(T193/K193,0)</x:f>
        <x:v>0</x:v>
      </x:c>
      <x:c r="V193" s="282" t="n">
        <x:f>IF(F193="",0,IF(M193="",TODAY()-F193,M193-F193))</x:f>
        <x:v>0</x:v>
      </x:c>
      <x:c r="W193" s="223"/>
      <x:c r="X193" s="223"/>
      <x:c r="Y193" s="223"/>
      <x:c r="Z193" s="223"/>
    </x:row>
    <x:row r="194">
      <x:c r="A194" s="223"/>
      <x:c r="B194" s="223"/>
      <x:c r="C194" s="223"/>
      <x:c r="D194" s="223"/>
      <x:c r="E194" s="223"/>
      <x:c r="F194" s="292"/>
      <x:c r="G194" s="223"/>
      <x:c r="H194" s="282"/>
      <x:c r="I194" s="293" t="n">
        <x:f>IF(G194="",0,XLOOKUP(G194,'平台参数'!$A$5:$A$9,'平台参数'!$E$5:$E$9,0)+XLOOKUP(G194,'平台参数'!$A$5:$A$9,'平台参数'!$G$5:$G$9,0))</x:f>
        <x:v>0</x:v>
      </x:c>
      <x:c r="J194" s="282" t="n">
        <x:f>IF(G194="",0,XLOOKUP(G194,'平台参数'!$A$5:$A$9,'平台参数'!$H$5:$H$9,0))</x:f>
        <x:v>0</x:v>
      </x:c>
      <x:c r="K194" s="282" t="n">
        <x:f>IF(H194=0,0,H194*(1+I194)+J194)</x:f>
        <x:v>0</x:v>
      </x:c>
      <x:c r="L194" s="292"/>
      <x:c r="M194" s="292"/>
      <x:c r="N194" s="223"/>
      <x:c r="O194" s="282"/>
      <x:c r="P194" s="293" t="n">
        <x:f>IF(N194="",0,XLOOKUP(N194,'平台参数'!$A$5:$A$9,'平台参数'!$F$5:$F$9,0))</x:f>
        <x:v>0</x:v>
      </x:c>
      <x:c r="Q194" s="293" t="n">
        <x:f>IF(N194="",0,XLOOKUP(N194,'平台参数'!$A$5:$A$9,'平台参数'!$G$5:$G$9,0))</x:f>
        <x:v>0</x:v>
      </x:c>
      <x:c r="R194" s="282" t="n">
        <x:f>IF(N194="",0,XLOOKUP(N194,'平台参数'!$A$5:$A$9,'平台参数'!$I$5:$I$9,0))</x:f>
        <x:v>0</x:v>
      </x:c>
      <x:c r="S194" s="282" t="n">
        <x:f>IF(O194=0,0,O194*(1-P194-Q194)-R194)</x:f>
        <x:v>0</x:v>
      </x:c>
      <x:c r="T194" s="282" t="n">
        <x:f>S194-K194</x:f>
        <x:v>0</x:v>
      </x:c>
      <x:c r="U194" s="293" t="n">
        <x:f>IFERROR(T194/K194,0)</x:f>
        <x:v>0</x:v>
      </x:c>
      <x:c r="V194" s="282" t="n">
        <x:f>IF(F194="",0,IF(M194="",TODAY()-F194,M194-F194))</x:f>
        <x:v>0</x:v>
      </x:c>
      <x:c r="W194" s="223"/>
      <x:c r="X194" s="223"/>
      <x:c r="Y194" s="223"/>
      <x:c r="Z194" s="223"/>
    </x:row>
    <x:row r="195">
      <x:c r="A195" s="223"/>
      <x:c r="B195" s="223"/>
      <x:c r="C195" s="223"/>
      <x:c r="D195" s="223"/>
      <x:c r="E195" s="223"/>
      <x:c r="F195" s="292"/>
      <x:c r="G195" s="223"/>
      <x:c r="H195" s="282"/>
      <x:c r="I195" s="293" t="n">
        <x:f>IF(G195="",0,XLOOKUP(G195,'平台参数'!$A$5:$A$9,'平台参数'!$E$5:$E$9,0)+XLOOKUP(G195,'平台参数'!$A$5:$A$9,'平台参数'!$G$5:$G$9,0))</x:f>
        <x:v>0</x:v>
      </x:c>
      <x:c r="J195" s="282" t="n">
        <x:f>IF(G195="",0,XLOOKUP(G195,'平台参数'!$A$5:$A$9,'平台参数'!$H$5:$H$9,0))</x:f>
        <x:v>0</x:v>
      </x:c>
      <x:c r="K195" s="282" t="n">
        <x:f>IF(H195=0,0,H195*(1+I195)+J195)</x:f>
        <x:v>0</x:v>
      </x:c>
      <x:c r="L195" s="292"/>
      <x:c r="M195" s="292"/>
      <x:c r="N195" s="223"/>
      <x:c r="O195" s="282"/>
      <x:c r="P195" s="293" t="n">
        <x:f>IF(N195="",0,XLOOKUP(N195,'平台参数'!$A$5:$A$9,'平台参数'!$F$5:$F$9,0))</x:f>
        <x:v>0</x:v>
      </x:c>
      <x:c r="Q195" s="293" t="n">
        <x:f>IF(N195="",0,XLOOKUP(N195,'平台参数'!$A$5:$A$9,'平台参数'!$G$5:$G$9,0))</x:f>
        <x:v>0</x:v>
      </x:c>
      <x:c r="R195" s="282" t="n">
        <x:f>IF(N195="",0,XLOOKUP(N195,'平台参数'!$A$5:$A$9,'平台参数'!$I$5:$I$9,0))</x:f>
        <x:v>0</x:v>
      </x:c>
      <x:c r="S195" s="282" t="n">
        <x:f>IF(O195=0,0,O195*(1-P195-Q195)-R195)</x:f>
        <x:v>0</x:v>
      </x:c>
      <x:c r="T195" s="282" t="n">
        <x:f>S195-K195</x:f>
        <x:v>0</x:v>
      </x:c>
      <x:c r="U195" s="293" t="n">
        <x:f>IFERROR(T195/K195,0)</x:f>
        <x:v>0</x:v>
      </x:c>
      <x:c r="V195" s="282" t="n">
        <x:f>IF(F195="",0,IF(M195="",TODAY()-F195,M195-F195))</x:f>
        <x:v>0</x:v>
      </x:c>
      <x:c r="W195" s="223"/>
      <x:c r="X195" s="223"/>
      <x:c r="Y195" s="223"/>
      <x:c r="Z195" s="223"/>
    </x:row>
    <x:row r="196">
      <x:c r="A196" s="223"/>
      <x:c r="B196" s="223"/>
      <x:c r="C196" s="223"/>
      <x:c r="D196" s="223"/>
      <x:c r="E196" s="223"/>
      <x:c r="F196" s="292"/>
      <x:c r="G196" s="223"/>
      <x:c r="H196" s="282"/>
      <x:c r="I196" s="293" t="n">
        <x:f>IF(G196="",0,XLOOKUP(G196,'平台参数'!$A$5:$A$9,'平台参数'!$E$5:$E$9,0)+XLOOKUP(G196,'平台参数'!$A$5:$A$9,'平台参数'!$G$5:$G$9,0))</x:f>
        <x:v>0</x:v>
      </x:c>
      <x:c r="J196" s="282" t="n">
        <x:f>IF(G196="",0,XLOOKUP(G196,'平台参数'!$A$5:$A$9,'平台参数'!$H$5:$H$9,0))</x:f>
        <x:v>0</x:v>
      </x:c>
      <x:c r="K196" s="282" t="n">
        <x:f>IF(H196=0,0,H196*(1+I196)+J196)</x:f>
        <x:v>0</x:v>
      </x:c>
      <x:c r="L196" s="292"/>
      <x:c r="M196" s="292"/>
      <x:c r="N196" s="223"/>
      <x:c r="O196" s="282"/>
      <x:c r="P196" s="293" t="n">
        <x:f>IF(N196="",0,XLOOKUP(N196,'平台参数'!$A$5:$A$9,'平台参数'!$F$5:$F$9,0))</x:f>
        <x:v>0</x:v>
      </x:c>
      <x:c r="Q196" s="293" t="n">
        <x:f>IF(N196="",0,XLOOKUP(N196,'平台参数'!$A$5:$A$9,'平台参数'!$G$5:$G$9,0))</x:f>
        <x:v>0</x:v>
      </x:c>
      <x:c r="R196" s="282" t="n">
        <x:f>IF(N196="",0,XLOOKUP(N196,'平台参数'!$A$5:$A$9,'平台参数'!$I$5:$I$9,0))</x:f>
        <x:v>0</x:v>
      </x:c>
      <x:c r="S196" s="282" t="n">
        <x:f>IF(O196=0,0,O196*(1-P196-Q196)-R196)</x:f>
        <x:v>0</x:v>
      </x:c>
      <x:c r="T196" s="282" t="n">
        <x:f>S196-K196</x:f>
        <x:v>0</x:v>
      </x:c>
      <x:c r="U196" s="293" t="n">
        <x:f>IFERROR(T196/K196,0)</x:f>
        <x:v>0</x:v>
      </x:c>
      <x:c r="V196" s="282" t="n">
        <x:f>IF(F196="",0,IF(M196="",TODAY()-F196,M196-F196))</x:f>
        <x:v>0</x:v>
      </x:c>
      <x:c r="W196" s="223"/>
      <x:c r="X196" s="223"/>
      <x:c r="Y196" s="223"/>
      <x:c r="Z196" s="223"/>
    </x:row>
    <x:row r="197">
      <x:c r="A197" s="223"/>
      <x:c r="B197" s="223"/>
      <x:c r="C197" s="223"/>
      <x:c r="D197" s="223"/>
      <x:c r="E197" s="223"/>
      <x:c r="F197" s="292"/>
      <x:c r="G197" s="223"/>
      <x:c r="H197" s="282"/>
      <x:c r="I197" s="293" t="n">
        <x:f>IF(G197="",0,XLOOKUP(G197,'平台参数'!$A$5:$A$9,'平台参数'!$E$5:$E$9,0)+XLOOKUP(G197,'平台参数'!$A$5:$A$9,'平台参数'!$G$5:$G$9,0))</x:f>
        <x:v>0</x:v>
      </x:c>
      <x:c r="J197" s="282" t="n">
        <x:f>IF(G197="",0,XLOOKUP(G197,'平台参数'!$A$5:$A$9,'平台参数'!$H$5:$H$9,0))</x:f>
        <x:v>0</x:v>
      </x:c>
      <x:c r="K197" s="282" t="n">
        <x:f>IF(H197=0,0,H197*(1+I197)+J197)</x:f>
        <x:v>0</x:v>
      </x:c>
      <x:c r="L197" s="292"/>
      <x:c r="M197" s="292"/>
      <x:c r="N197" s="223"/>
      <x:c r="O197" s="282"/>
      <x:c r="P197" s="293" t="n">
        <x:f>IF(N197="",0,XLOOKUP(N197,'平台参数'!$A$5:$A$9,'平台参数'!$F$5:$F$9,0))</x:f>
        <x:v>0</x:v>
      </x:c>
      <x:c r="Q197" s="293" t="n">
        <x:f>IF(N197="",0,XLOOKUP(N197,'平台参数'!$A$5:$A$9,'平台参数'!$G$5:$G$9,0))</x:f>
        <x:v>0</x:v>
      </x:c>
      <x:c r="R197" s="282" t="n">
        <x:f>IF(N197="",0,XLOOKUP(N197,'平台参数'!$A$5:$A$9,'平台参数'!$I$5:$I$9,0))</x:f>
        <x:v>0</x:v>
      </x:c>
      <x:c r="S197" s="282" t="n">
        <x:f>IF(O197=0,0,O197*(1-P197-Q197)-R197)</x:f>
        <x:v>0</x:v>
      </x:c>
      <x:c r="T197" s="282" t="n">
        <x:f>S197-K197</x:f>
        <x:v>0</x:v>
      </x:c>
      <x:c r="U197" s="293" t="n">
        <x:f>IFERROR(T197/K197,0)</x:f>
        <x:v>0</x:v>
      </x:c>
      <x:c r="V197" s="282" t="n">
        <x:f>IF(F197="",0,IF(M197="",TODAY()-F197,M197-F197))</x:f>
        <x:v>0</x:v>
      </x:c>
      <x:c r="W197" s="223"/>
      <x:c r="X197" s="223"/>
      <x:c r="Y197" s="223"/>
      <x:c r="Z197" s="223"/>
    </x:row>
    <x:row r="198">
      <x:c r="A198" s="223"/>
      <x:c r="B198" s="223"/>
      <x:c r="C198" s="223"/>
      <x:c r="D198" s="223"/>
      <x:c r="E198" s="223"/>
      <x:c r="F198" s="292"/>
      <x:c r="G198" s="223"/>
      <x:c r="H198" s="282"/>
      <x:c r="I198" s="293" t="n">
        <x:f>IF(G198="",0,XLOOKUP(G198,'平台参数'!$A$5:$A$9,'平台参数'!$E$5:$E$9,0)+XLOOKUP(G198,'平台参数'!$A$5:$A$9,'平台参数'!$G$5:$G$9,0))</x:f>
        <x:v>0</x:v>
      </x:c>
      <x:c r="J198" s="282" t="n">
        <x:f>IF(G198="",0,XLOOKUP(G198,'平台参数'!$A$5:$A$9,'平台参数'!$H$5:$H$9,0))</x:f>
        <x:v>0</x:v>
      </x:c>
      <x:c r="K198" s="282" t="n">
        <x:f>IF(H198=0,0,H198*(1+I198)+J198)</x:f>
        <x:v>0</x:v>
      </x:c>
      <x:c r="L198" s="292"/>
      <x:c r="M198" s="292"/>
      <x:c r="N198" s="223"/>
      <x:c r="O198" s="282"/>
      <x:c r="P198" s="293" t="n">
        <x:f>IF(N198="",0,XLOOKUP(N198,'平台参数'!$A$5:$A$9,'平台参数'!$F$5:$F$9,0))</x:f>
        <x:v>0</x:v>
      </x:c>
      <x:c r="Q198" s="293" t="n">
        <x:f>IF(N198="",0,XLOOKUP(N198,'平台参数'!$A$5:$A$9,'平台参数'!$G$5:$G$9,0))</x:f>
        <x:v>0</x:v>
      </x:c>
      <x:c r="R198" s="282" t="n">
        <x:f>IF(N198="",0,XLOOKUP(N198,'平台参数'!$A$5:$A$9,'平台参数'!$I$5:$I$9,0))</x:f>
        <x:v>0</x:v>
      </x:c>
      <x:c r="S198" s="282" t="n">
        <x:f>IF(O198=0,0,O198*(1-P198-Q198)-R198)</x:f>
        <x:v>0</x:v>
      </x:c>
      <x:c r="T198" s="282" t="n">
        <x:f>S198-K198</x:f>
        <x:v>0</x:v>
      </x:c>
      <x:c r="U198" s="293" t="n">
        <x:f>IFERROR(T198/K198,0)</x:f>
        <x:v>0</x:v>
      </x:c>
      <x:c r="V198" s="282" t="n">
        <x:f>IF(F198="",0,IF(M198="",TODAY()-F198,M198-F198))</x:f>
        <x:v>0</x:v>
      </x:c>
      <x:c r="W198" s="223"/>
      <x:c r="X198" s="223"/>
      <x:c r="Y198" s="223"/>
      <x:c r="Z198" s="223"/>
    </x:row>
    <x:row r="199">
      <x:c r="A199" s="223"/>
      <x:c r="B199" s="223"/>
      <x:c r="C199" s="223"/>
      <x:c r="D199" s="223"/>
      <x:c r="E199" s="223"/>
      <x:c r="F199" s="292"/>
      <x:c r="G199" s="223"/>
      <x:c r="H199" s="282"/>
      <x:c r="I199" s="293" t="n">
        <x:f>IF(G199="",0,XLOOKUP(G199,'平台参数'!$A$5:$A$9,'平台参数'!$E$5:$E$9,0)+XLOOKUP(G199,'平台参数'!$A$5:$A$9,'平台参数'!$G$5:$G$9,0))</x:f>
        <x:v>0</x:v>
      </x:c>
      <x:c r="J199" s="282" t="n">
        <x:f>IF(G199="",0,XLOOKUP(G199,'平台参数'!$A$5:$A$9,'平台参数'!$H$5:$H$9,0))</x:f>
        <x:v>0</x:v>
      </x:c>
      <x:c r="K199" s="282" t="n">
        <x:f>IF(H199=0,0,H199*(1+I199)+J199)</x:f>
        <x:v>0</x:v>
      </x:c>
      <x:c r="L199" s="292"/>
      <x:c r="M199" s="292"/>
      <x:c r="N199" s="223"/>
      <x:c r="O199" s="282"/>
      <x:c r="P199" s="293" t="n">
        <x:f>IF(N199="",0,XLOOKUP(N199,'平台参数'!$A$5:$A$9,'平台参数'!$F$5:$F$9,0))</x:f>
        <x:v>0</x:v>
      </x:c>
      <x:c r="Q199" s="293" t="n">
        <x:f>IF(N199="",0,XLOOKUP(N199,'平台参数'!$A$5:$A$9,'平台参数'!$G$5:$G$9,0))</x:f>
        <x:v>0</x:v>
      </x:c>
      <x:c r="R199" s="282" t="n">
        <x:f>IF(N199="",0,XLOOKUP(N199,'平台参数'!$A$5:$A$9,'平台参数'!$I$5:$I$9,0))</x:f>
        <x:v>0</x:v>
      </x:c>
      <x:c r="S199" s="282" t="n">
        <x:f>IF(O199=0,0,O199*(1-P199-Q199)-R199)</x:f>
        <x:v>0</x:v>
      </x:c>
      <x:c r="T199" s="282" t="n">
        <x:f>S199-K199</x:f>
        <x:v>0</x:v>
      </x:c>
      <x:c r="U199" s="293" t="n">
        <x:f>IFERROR(T199/K199,0)</x:f>
        <x:v>0</x:v>
      </x:c>
      <x:c r="V199" s="282" t="n">
        <x:f>IF(F199="",0,IF(M199="",TODAY()-F199,M199-F199))</x:f>
        <x:v>0</x:v>
      </x:c>
      <x:c r="W199" s="223"/>
      <x:c r="X199" s="223"/>
      <x:c r="Y199" s="223"/>
      <x:c r="Z199" s="223"/>
    </x:row>
    <x:row r="200">
      <x:c r="A200" s="223"/>
      <x:c r="B200" s="223"/>
      <x:c r="C200" s="223"/>
      <x:c r="D200" s="223"/>
      <x:c r="E200" s="223"/>
      <x:c r="F200" s="292"/>
      <x:c r="G200" s="223"/>
      <x:c r="H200" s="282"/>
      <x:c r="I200" s="293" t="n">
        <x:f>IF(G200="",0,XLOOKUP(G200,'平台参数'!$A$5:$A$9,'平台参数'!$E$5:$E$9,0)+XLOOKUP(G200,'平台参数'!$A$5:$A$9,'平台参数'!$G$5:$G$9,0))</x:f>
        <x:v>0</x:v>
      </x:c>
      <x:c r="J200" s="282" t="n">
        <x:f>IF(G200="",0,XLOOKUP(G200,'平台参数'!$A$5:$A$9,'平台参数'!$H$5:$H$9,0))</x:f>
        <x:v>0</x:v>
      </x:c>
      <x:c r="K200" s="282" t="n">
        <x:f>IF(H200=0,0,H200*(1+I200)+J200)</x:f>
        <x:v>0</x:v>
      </x:c>
      <x:c r="L200" s="292"/>
      <x:c r="M200" s="292"/>
      <x:c r="N200" s="223"/>
      <x:c r="O200" s="282"/>
      <x:c r="P200" s="293" t="n">
        <x:f>IF(N200="",0,XLOOKUP(N200,'平台参数'!$A$5:$A$9,'平台参数'!$F$5:$F$9,0))</x:f>
        <x:v>0</x:v>
      </x:c>
      <x:c r="Q200" s="293" t="n">
        <x:f>IF(N200="",0,XLOOKUP(N200,'平台参数'!$A$5:$A$9,'平台参数'!$G$5:$G$9,0))</x:f>
        <x:v>0</x:v>
      </x:c>
      <x:c r="R200" s="282" t="n">
        <x:f>IF(N200="",0,XLOOKUP(N200,'平台参数'!$A$5:$A$9,'平台参数'!$I$5:$I$9,0))</x:f>
        <x:v>0</x:v>
      </x:c>
      <x:c r="S200" s="282" t="n">
        <x:f>IF(O200=0,0,O200*(1-P200-Q200)-R200)</x:f>
        <x:v>0</x:v>
      </x:c>
      <x:c r="T200" s="282" t="n">
        <x:f>S200-K200</x:f>
        <x:v>0</x:v>
      </x:c>
      <x:c r="U200" s="293" t="n">
        <x:f>IFERROR(T200/K200,0)</x:f>
        <x:v>0</x:v>
      </x:c>
      <x:c r="V200" s="282" t="n">
        <x:f>IF(F200="",0,IF(M200="",TODAY()-F200,M200-F200))</x:f>
        <x:v>0</x:v>
      </x:c>
      <x:c r="W200" s="223"/>
      <x:c r="X200" s="223"/>
      <x:c r="Y200" s="223"/>
      <x:c r="Z200" s="223"/>
    </x:row>
    <x:row r="201">
      <x:c r="A201" s="223"/>
      <x:c r="B201" s="223"/>
      <x:c r="C201" s="223"/>
      <x:c r="D201" s="223"/>
      <x:c r="E201" s="223"/>
      <x:c r="F201" s="292"/>
      <x:c r="G201" s="223"/>
      <x:c r="H201" s="282"/>
      <x:c r="I201" s="293" t="n">
        <x:f>IF(G201="",0,XLOOKUP(G201,'平台参数'!$A$5:$A$9,'平台参数'!$E$5:$E$9,0)+XLOOKUP(G201,'平台参数'!$A$5:$A$9,'平台参数'!$G$5:$G$9,0))</x:f>
        <x:v>0</x:v>
      </x:c>
      <x:c r="J201" s="282" t="n">
        <x:f>IF(G201="",0,XLOOKUP(G201,'平台参数'!$A$5:$A$9,'平台参数'!$H$5:$H$9,0))</x:f>
        <x:v>0</x:v>
      </x:c>
      <x:c r="K201" s="282" t="n">
        <x:f>IF(H201=0,0,H201*(1+I201)+J201)</x:f>
        <x:v>0</x:v>
      </x:c>
      <x:c r="L201" s="292"/>
      <x:c r="M201" s="292"/>
      <x:c r="N201" s="223"/>
      <x:c r="O201" s="282"/>
      <x:c r="P201" s="293" t="n">
        <x:f>IF(N201="",0,XLOOKUP(N201,'平台参数'!$A$5:$A$9,'平台参数'!$F$5:$F$9,0))</x:f>
        <x:v>0</x:v>
      </x:c>
      <x:c r="Q201" s="293" t="n">
        <x:f>IF(N201="",0,XLOOKUP(N201,'平台参数'!$A$5:$A$9,'平台参数'!$G$5:$G$9,0))</x:f>
        <x:v>0</x:v>
      </x:c>
      <x:c r="R201" s="282" t="n">
        <x:f>IF(N201="",0,XLOOKUP(N201,'平台参数'!$A$5:$A$9,'平台参数'!$I$5:$I$9,0))</x:f>
        <x:v>0</x:v>
      </x:c>
      <x:c r="S201" s="282" t="n">
        <x:f>IF(O201=0,0,O201*(1-P201-Q201)-R201)</x:f>
        <x:v>0</x:v>
      </x:c>
      <x:c r="T201" s="282" t="n">
        <x:f>S201-K201</x:f>
        <x:v>0</x:v>
      </x:c>
      <x:c r="U201" s="293" t="n">
        <x:f>IFERROR(T201/K201,0)</x:f>
        <x:v>0</x:v>
      </x:c>
      <x:c r="V201" s="282" t="n">
        <x:f>IF(F201="",0,IF(M201="",TODAY()-F201,M201-F201))</x:f>
        <x:v>0</x:v>
      </x:c>
      <x:c r="W201" s="223"/>
      <x:c r="X201" s="223"/>
      <x:c r="Y201" s="223"/>
      <x:c r="Z201" s="223"/>
    </x:row>
    <x:row r="202">
      <x:c r="A202" s="223"/>
      <x:c r="B202" s="223"/>
      <x:c r="C202" s="223"/>
      <x:c r="D202" s="223"/>
      <x:c r="E202" s="223"/>
      <x:c r="F202" s="292"/>
      <x:c r="G202" s="223"/>
      <x:c r="H202" s="282"/>
      <x:c r="I202" s="293" t="n">
        <x:f>IF(G202="",0,XLOOKUP(G202,'平台参数'!$A$5:$A$9,'平台参数'!$E$5:$E$9,0)+XLOOKUP(G202,'平台参数'!$A$5:$A$9,'平台参数'!$G$5:$G$9,0))</x:f>
        <x:v>0</x:v>
      </x:c>
      <x:c r="J202" s="282" t="n">
        <x:f>IF(G202="",0,XLOOKUP(G202,'平台参数'!$A$5:$A$9,'平台参数'!$H$5:$H$9,0))</x:f>
        <x:v>0</x:v>
      </x:c>
      <x:c r="K202" s="282" t="n">
        <x:f>IF(H202=0,0,H202*(1+I202)+J202)</x:f>
        <x:v>0</x:v>
      </x:c>
      <x:c r="L202" s="292"/>
      <x:c r="M202" s="292"/>
      <x:c r="N202" s="223"/>
      <x:c r="O202" s="282"/>
      <x:c r="P202" s="293" t="n">
        <x:f>IF(N202="",0,XLOOKUP(N202,'平台参数'!$A$5:$A$9,'平台参数'!$F$5:$F$9,0))</x:f>
        <x:v>0</x:v>
      </x:c>
      <x:c r="Q202" s="293" t="n">
        <x:f>IF(N202="",0,XLOOKUP(N202,'平台参数'!$A$5:$A$9,'平台参数'!$G$5:$G$9,0))</x:f>
        <x:v>0</x:v>
      </x:c>
      <x:c r="R202" s="282" t="n">
        <x:f>IF(N202="",0,XLOOKUP(N202,'平台参数'!$A$5:$A$9,'平台参数'!$I$5:$I$9,0))</x:f>
        <x:v>0</x:v>
      </x:c>
      <x:c r="S202" s="282" t="n">
        <x:f>IF(O202=0,0,O202*(1-P202-Q202)-R202)</x:f>
        <x:v>0</x:v>
      </x:c>
      <x:c r="T202" s="282" t="n">
        <x:f>S202-K202</x:f>
        <x:v>0</x:v>
      </x:c>
      <x:c r="U202" s="293" t="n">
        <x:f>IFERROR(T202/K202,0)</x:f>
        <x:v>0</x:v>
      </x:c>
      <x:c r="V202" s="282" t="n">
        <x:f>IF(F202="",0,IF(M202="",TODAY()-F202,M202-F202))</x:f>
        <x:v>0</x:v>
      </x:c>
      <x:c r="W202" s="223"/>
      <x:c r="X202" s="223"/>
      <x:c r="Y202" s="223"/>
      <x:c r="Z202" s="223"/>
    </x:row>
    <x:row r="203">
      <x:c r="A203" s="223"/>
      <x:c r="B203" s="223"/>
      <x:c r="C203" s="223"/>
      <x:c r="D203" s="223"/>
      <x:c r="E203" s="223"/>
      <x:c r="F203" s="292"/>
      <x:c r="G203" s="223"/>
      <x:c r="H203" s="282"/>
      <x:c r="I203" s="293" t="n">
        <x:f>IF(G203="",0,XLOOKUP(G203,'平台参数'!$A$5:$A$9,'平台参数'!$E$5:$E$9,0)+XLOOKUP(G203,'平台参数'!$A$5:$A$9,'平台参数'!$G$5:$G$9,0))</x:f>
        <x:v>0</x:v>
      </x:c>
      <x:c r="J203" s="282" t="n">
        <x:f>IF(G203="",0,XLOOKUP(G203,'平台参数'!$A$5:$A$9,'平台参数'!$H$5:$H$9,0))</x:f>
        <x:v>0</x:v>
      </x:c>
      <x:c r="K203" s="282" t="n">
        <x:f>IF(H203=0,0,H203*(1+I203)+J203)</x:f>
        <x:v>0</x:v>
      </x:c>
      <x:c r="L203" s="292"/>
      <x:c r="M203" s="292"/>
      <x:c r="N203" s="223"/>
      <x:c r="O203" s="282"/>
      <x:c r="P203" s="293" t="n">
        <x:f>IF(N203="",0,XLOOKUP(N203,'平台参数'!$A$5:$A$9,'平台参数'!$F$5:$F$9,0))</x:f>
        <x:v>0</x:v>
      </x:c>
      <x:c r="Q203" s="293" t="n">
        <x:f>IF(N203="",0,XLOOKUP(N203,'平台参数'!$A$5:$A$9,'平台参数'!$G$5:$G$9,0))</x:f>
        <x:v>0</x:v>
      </x:c>
      <x:c r="R203" s="282" t="n">
        <x:f>IF(N203="",0,XLOOKUP(N203,'平台参数'!$A$5:$A$9,'平台参数'!$I$5:$I$9,0))</x:f>
        <x:v>0</x:v>
      </x:c>
      <x:c r="S203" s="282" t="n">
        <x:f>IF(O203=0,0,O203*(1-P203-Q203)-R203)</x:f>
        <x:v>0</x:v>
      </x:c>
      <x:c r="T203" s="282" t="n">
        <x:f>S203-K203</x:f>
        <x:v>0</x:v>
      </x:c>
      <x:c r="U203" s="293" t="n">
        <x:f>IFERROR(T203/K203,0)</x:f>
        <x:v>0</x:v>
      </x:c>
      <x:c r="V203" s="282" t="n">
        <x:f>IF(F203="",0,IF(M203="",TODAY()-F203,M203-F203))</x:f>
        <x:v>0</x:v>
      </x:c>
      <x:c r="W203" s="223"/>
      <x:c r="X203" s="223"/>
      <x:c r="Y203" s="223"/>
      <x:c r="Z203" s="223"/>
    </x:row>
    <x:row r="204">
      <x:c r="A204" s="223"/>
      <x:c r="B204" s="223"/>
      <x:c r="C204" s="223"/>
      <x:c r="D204" s="223"/>
      <x:c r="E204" s="223"/>
      <x:c r="F204" s="292"/>
      <x:c r="G204" s="223"/>
      <x:c r="H204" s="282"/>
      <x:c r="I204" s="293" t="n">
        <x:f>IF(G204="",0,XLOOKUP(G204,'平台参数'!$A$5:$A$9,'平台参数'!$E$5:$E$9,0)+XLOOKUP(G204,'平台参数'!$A$5:$A$9,'平台参数'!$G$5:$G$9,0))</x:f>
        <x:v>0</x:v>
      </x:c>
      <x:c r="J204" s="282" t="n">
        <x:f>IF(G204="",0,XLOOKUP(G204,'平台参数'!$A$5:$A$9,'平台参数'!$H$5:$H$9,0))</x:f>
        <x:v>0</x:v>
      </x:c>
      <x:c r="K204" s="282" t="n">
        <x:f>IF(H204=0,0,H204*(1+I204)+J204)</x:f>
        <x:v>0</x:v>
      </x:c>
      <x:c r="L204" s="292"/>
      <x:c r="M204" s="292"/>
      <x:c r="N204" s="223"/>
      <x:c r="O204" s="282"/>
      <x:c r="P204" s="293" t="n">
        <x:f>IF(N204="",0,XLOOKUP(N204,'平台参数'!$A$5:$A$9,'平台参数'!$F$5:$F$9,0))</x:f>
        <x:v>0</x:v>
      </x:c>
      <x:c r="Q204" s="293" t="n">
        <x:f>IF(N204="",0,XLOOKUP(N204,'平台参数'!$A$5:$A$9,'平台参数'!$G$5:$G$9,0))</x:f>
        <x:v>0</x:v>
      </x:c>
      <x:c r="R204" s="282" t="n">
        <x:f>IF(N204="",0,XLOOKUP(N204,'平台参数'!$A$5:$A$9,'平台参数'!$I$5:$I$9,0))</x:f>
        <x:v>0</x:v>
      </x:c>
      <x:c r="S204" s="282" t="n">
        <x:f>IF(O204=0,0,O204*(1-P204-Q204)-R204)</x:f>
        <x:v>0</x:v>
      </x:c>
      <x:c r="T204" s="282" t="n">
        <x:f>S204-K204</x:f>
        <x:v>0</x:v>
      </x:c>
      <x:c r="U204" s="293" t="n">
        <x:f>IFERROR(T204/K204,0)</x:f>
        <x:v>0</x:v>
      </x:c>
      <x:c r="V204" s="282" t="n">
        <x:f>IF(F204="",0,IF(M204="",TODAY()-F204,M204-F204))</x:f>
        <x:v>0</x:v>
      </x:c>
      <x:c r="W204" s="223"/>
      <x:c r="X204" s="223"/>
      <x:c r="Y204" s="223"/>
      <x:c r="Z204" s="223"/>
    </x:row>
  </x:sheetData>
  <x:mergeCells>
    <x:mergeCell ref="A1:Z1"/>
    <x:mergeCell ref="A2:H2"/>
  </x:mergeCells>
  <x:conditionalFormatting sqref="T5:T204">
    <x:cfRule type="cellIs" dxfId="3" priority="1" operator="lessThan">
      <x:formula>0</x:formula>
    </x:cfRule>
    <x:cfRule type="cellIs" dxfId="4" priority="2" operator="greaterThan">
      <x:formula>0</x:formula>
    </x:cfRule>
  </x:conditionalFormatting>
  <x:dataValidations count="3">
    <x:dataValidation type="list" sqref="G5:G204">
      <x:formula1>"eBay,ALT,Card Hobby,Fanatics Collect,PokerColor"</x:formula1>
    </x:dataValidation>
    <x:dataValidation type="list" sqref="N5:N204">
      <x:formula1>",eBay,ALT,Card Hobby,Fanatics Collect,PokerColor"</x:formula1>
    </x:dataValidation>
    <x:dataValidation type="list" sqref="W5:W204">
      <x:formula1>"观察,库存,已上架,已售出,退货,亏损止损"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ea583eaf534d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36" hidden="0" customWidth="1"/>
  </x:cols>
  <x:sheetData>
    <x:row r="1" ht="34" customHeight="1">
      <x:c r="A1" s="221" t="str">
        <x:v>PTCG PSA10 平台参数</x:v>
      </x:c>
      <x:c r="B1" s="221" t="str">
        <x:v>PTCG PSA10 平台参数</x:v>
      </x:c>
      <x:c r="C1" s="221" t="str">
        <x:v>PTCG PSA10 平台参数</x:v>
      </x:c>
      <x:c r="D1" s="221" t="str">
        <x:v>PTCG PSA10 平台参数</x:v>
      </x:c>
      <x:c r="E1" s="221" t="str">
        <x:v>PTCG PSA10 平台参数</x:v>
      </x:c>
      <x:c r="F1" s="221" t="str">
        <x:v>PTCG PSA10 平台参数</x:v>
      </x:c>
      <x:c r="G1" s="221" t="str">
        <x:v>PTCG PSA10 平台参数</x:v>
      </x:c>
      <x:c r="H1" s="221" t="str">
        <x:v>PTCG PSA10 平台参数</x:v>
      </x:c>
      <x:c r="I1" s="221" t="str">
        <x:v>PTCG PSA10 平台参数</x:v>
      </x:c>
      <x:c r="J1" s="221" t="str">
        <x:v>PTCG PSA10 平台参数</x:v>
      </x:c>
    </x:row>
    <x:row r="2" ht="30" customHeight="1">
      <x:c r="A2" s="222" t="str">
        <x:v>所有手续费、汇率、物流和风险假设都在这里维护；机会扫描和交易台账会引用这些输入。</x:v>
      </x:c>
      <x:c r="B2" s="222" t="str">
        <x:v>所有手续费、汇率、物流和风险假设都在这里维护；机会扫描和交易台账会引用这些输入。</x:v>
      </x:c>
      <x:c r="C2" s="222" t="str">
        <x:v>所有手续费、汇率、物流和风险假设都在这里维护；机会扫描和交易台账会引用这些输入。</x:v>
      </x:c>
      <x:c r="D2" s="222" t="str">
        <x:v>所有手续费、汇率、物流和风险假设都在这里维护；机会扫描和交易台账会引用这些输入。</x:v>
      </x:c>
      <x:c r="E2" s="222" t="str">
        <x:v>所有手续费、汇率、物流和风险假设都在这里维护；机会扫描和交易台账会引用这些输入。</x:v>
      </x:c>
      <x:c r="F2" s="222" t="str">
        <x:v>所有手续费、汇率、物流和风险假设都在这里维护；机会扫描和交易台账会引用这些输入。</x:v>
      </x:c>
      <x:c r="G2" s="222" t="str">
        <x:v>所有手续费、汇率、物流和风险假设都在这里维护；机会扫描和交易台账会引用这些输入。</x:v>
      </x:c>
      <x:c r="H2" s="222" t="str">
        <x:v>所有手续费、汇率、物流和风险假设都在这里维护；机会扫描和交易台账会引用这些输入。</x:v>
      </x:c>
      <x:c r="I2" s="223"/>
      <x:c r="J2" s="223"/>
    </x:row>
    <x:row r="3">
      <x:c r="A3" s="223"/>
      <x:c r="B3" s="223"/>
      <x:c r="C3" s="223"/>
      <x:c r="D3" s="223"/>
      <x:c r="E3" s="223"/>
      <x:c r="F3" s="223"/>
      <x:c r="G3" s="223"/>
      <x:c r="H3" s="223"/>
      <x:c r="I3" s="223"/>
      <x:c r="J3" s="223"/>
    </x:row>
    <x:row r="4">
      <x:c r="A4" s="229" t="str">
        <x:v>平台</x:v>
      </x:c>
      <x:c r="B4" s="230" t="str">
        <x:v>网站</x:v>
      </x:c>
      <x:c r="C4" s="230" t="str">
        <x:v>币种</x:v>
      </x:c>
      <x:c r="D4" s="230" t="str">
        <x:v>汇率至CNY</x:v>
      </x:c>
      <x:c r="E4" s="230" t="str">
        <x:v>买家佣金%</x:v>
      </x:c>
      <x:c r="F4" s="230" t="str">
        <x:v>卖家佣金%</x:v>
      </x:c>
      <x:c r="G4" s="230" t="str">
        <x:v>支付/提现%</x:v>
      </x:c>
      <x:c r="H4" s="230" t="str">
        <x:v>入库/国际运费</x:v>
      </x:c>
      <x:c r="I4" s="230" t="str">
        <x:v>出库/国内运费</x:v>
      </x:c>
      <x:c r="J4" s="231" t="str">
        <x:v>备注</x:v>
      </x:c>
    </x:row>
    <x:row r="5">
      <x:c r="A5" s="294" t="str">
        <x:v>eBay</x:v>
      </x:c>
      <x:c r="B5" s="295" t="str">
        <x:v>https://www.ebay.com</x:v>
      </x:c>
      <x:c r="C5" s="295" t="str">
        <x:v>USD</x:v>
      </x:c>
      <x:c r="D5" s="296" t="n">
        <x:v>7.2</x:v>
      </x:c>
      <x:c r="E5" s="297" t="n">
        <x:v>0</x:v>
      </x:c>
      <x:c r="F5" s="297" t="n">
        <x:v>0.13</x:v>
      </x:c>
      <x:c r="G5" s="297" t="n">
        <x:v>0.03</x:v>
      </x:c>
      <x:c r="H5" s="296" t="n">
        <x:v>120</x:v>
      </x:c>
      <x:c r="I5" s="296" t="n">
        <x:v>20</x:v>
      </x:c>
      <x:c r="J5" s="298" t="str">
        <x:v>按账号、品类和跨境方案更新</x:v>
      </x:c>
    </x:row>
    <x:row r="6">
      <x:c r="A6" s="299" t="str">
        <x:v>ALT</x:v>
      </x:c>
      <x:c r="B6" s="300" t="str">
        <x:v>https://www.alt.xyz</x:v>
      </x:c>
      <x:c r="C6" s="300" t="str">
        <x:v>USD</x:v>
      </x:c>
      <x:c r="D6" s="301" t="n">
        <x:v>7.2</x:v>
      </x:c>
      <x:c r="E6" s="302" t="n">
        <x:v>0</x:v>
      </x:c>
      <x:c r="F6" s="302" t="n">
        <x:v>0.08</x:v>
      </x:c>
      <x:c r="G6" s="302" t="n">
        <x:v>0.03</x:v>
      </x:c>
      <x:c r="H6" s="301" t="n">
        <x:v>120</x:v>
      </x:c>
      <x:c r="I6" s="301" t="n">
        <x:v>20</x:v>
      </x:c>
      <x:c r="J6" s="303" t="str">
        <x:v>请按收藏品/保险/提现规则更新</x:v>
      </x:c>
    </x:row>
    <x:row r="7">
      <x:c r="A7" s="299" t="str">
        <x:v>Card Hobby</x:v>
      </x:c>
      <x:c r="B7" s="300" t="str">
        <x:v>https://www.cardhobby.com</x:v>
      </x:c>
      <x:c r="C7" s="300" t="str">
        <x:v>CNY</x:v>
      </x:c>
      <x:c r="D7" s="301" t="n">
        <x:v>1</x:v>
      </x:c>
      <x:c r="E7" s="302" t="n">
        <x:v>0.05</x:v>
      </x:c>
      <x:c r="F7" s="302" t="n">
        <x:v>0.05</x:v>
      </x:c>
      <x:c r="G7" s="302" t="n">
        <x:v>0.01</x:v>
      </x:c>
      <x:c r="H7" s="301" t="n">
        <x:v>20</x:v>
      </x:c>
      <x:c r="I7" s="301" t="n">
        <x:v>15</x:v>
      </x:c>
      <x:c r="J7" s="303" t="str">
        <x:v>请按拍卖佣金、保证金和运费更新</x:v>
      </x:c>
    </x:row>
    <x:row r="8">
      <x:c r="A8" s="299" t="str">
        <x:v>Fanatics Collect</x:v>
      </x:c>
      <x:c r="B8" s="300" t="str">
        <x:v>https://www.fanaticscollect.com</x:v>
      </x:c>
      <x:c r="C8" s="300" t="str">
        <x:v>USD</x:v>
      </x:c>
      <x:c r="D8" s="301" t="n">
        <x:v>7.2</x:v>
      </x:c>
      <x:c r="E8" s="302" t="n">
        <x:v>0</x:v>
      </x:c>
      <x:c r="F8" s="302" t="n">
        <x:v>0.1</x:v>
      </x:c>
      <x:c r="G8" s="302" t="n">
        <x:v>0.03</x:v>
      </x:c>
      <x:c r="H8" s="301" t="n">
        <x:v>120</x:v>
      </x:c>
      <x:c r="I8" s="301" t="n">
        <x:v>20</x:v>
      </x:c>
      <x:c r="J8" s="303" t="str">
        <x:v>原 PWCC/Fanatics Collect 规则可能变动</x:v>
      </x:c>
    </x:row>
    <x:row r="9">
      <x:c r="A9" s="304" t="str">
        <x:v>PokerColor</x:v>
      </x:c>
      <x:c r="B9" s="305" t="str">
        <x:v>https://www.pokercolor.com</x:v>
      </x:c>
      <x:c r="C9" s="305" t="str">
        <x:v>CNY</x:v>
      </x:c>
      <x:c r="D9" s="306" t="n">
        <x:v>1</x:v>
      </x:c>
      <x:c r="E9" s="307" t="n">
        <x:v>0.03</x:v>
      </x:c>
      <x:c r="F9" s="307" t="n">
        <x:v>0.03</x:v>
      </x:c>
      <x:c r="G9" s="307" t="n">
        <x:v>0.01</x:v>
      </x:c>
      <x:c r="H9" s="306" t="n">
        <x:v>15</x:v>
      </x:c>
      <x:c r="I9" s="306" t="n">
        <x:v>15</x:v>
      </x:c>
      <x:c r="J9" s="308" t="str">
        <x:v>请按实际交易规则更新</x:v>
      </x:c>
    </x:row>
    <x:row r="10">
      <x:c r="A10" s="223"/>
      <x:c r="B10" s="223"/>
      <x:c r="C10" s="223"/>
      <x:c r="D10" s="223"/>
      <x:c r="E10" s="223"/>
      <x:c r="F10" s="223"/>
      <x:c r="G10" s="223"/>
      <x:c r="H10" s="223"/>
      <x:c r="I10" s="223"/>
      <x:c r="J10" s="223"/>
    </x:row>
    <x:row r="11">
      <x:c r="A11" s="288" t="str">
        <x:v>使用提醒</x:v>
      </x:c>
      <x:c r="B11" s="288"/>
      <x:c r="C11" s="288"/>
      <x:c r="D11" s="288"/>
      <x:c r="E11" s="288"/>
      <x:c r="F11" s="288"/>
      <x:c r="G11" s="288"/>
      <x:c r="H11" s="288"/>
      <x:c r="I11" s="288"/>
      <x:c r="J11" s="288"/>
    </x:row>
    <x:row r="12">
      <x:c r="A12" s="288" t="str">
        <x:v>1. 平台费率会变化，首次真实交易前请核对每个平台的最新规则。</x:v>
      </x:c>
      <x:c r="B12" s="288"/>
      <x:c r="C12" s="288"/>
      <x:c r="D12" s="288"/>
      <x:c r="E12" s="288"/>
      <x:c r="F12" s="288"/>
      <x:c r="G12" s="288"/>
      <x:c r="H12" s="288"/>
      <x:c r="I12" s="288"/>
      <x:c r="J12" s="288"/>
    </x:row>
    <x:row r="13">
      <x:c r="A13" s="288" t="str">
        <x:v>2. 汇率、税费、代购费、保险和退货损耗请按你的实际方案填入。</x:v>
      </x:c>
      <x:c r="B13" s="288"/>
      <x:c r="C13" s="288"/>
      <x:c r="D13" s="288"/>
      <x:c r="E13" s="288"/>
      <x:c r="F13" s="288"/>
      <x:c r="G13" s="288"/>
      <x:c r="H13" s="288"/>
      <x:c r="I13" s="288"/>
      <x:c r="J13" s="288"/>
    </x:row>
    <x:row r="14">
      <x:c r="A14" s="288" t="str">
        <x:v>3. 模板默认值只是用于跑通模型，不构成投资或交易建议。</x:v>
      </x:c>
      <x:c r="B14" s="288"/>
      <x:c r="C14" s="288"/>
      <x:c r="D14" s="288"/>
      <x:c r="E14" s="288"/>
      <x:c r="F14" s="288"/>
      <x:c r="G14" s="288"/>
      <x:c r="H14" s="288"/>
      <x:c r="I14" s="288"/>
      <x:c r="J14" s="288"/>
    </x:row>
  </x:sheetData>
  <x:mergeCells>
    <x:mergeCell ref="A1:J1"/>
    <x:mergeCell ref="A2:H2"/>
    <x:mergeCell ref="A11:J11"/>
    <x:mergeCell ref="A12:J12"/>
    <x:mergeCell ref="A13:J13"/>
    <x:mergeCell ref="A14:J14"/>
  </x:mergeCells>
  <x:pageMargins left="0.7" right="0.7" top="0.75" bottom="0.75" header="0.3" footer="0.3"/>
  <x:legacyDrawing xmlns:r="http://schemas.openxmlformats.org/officeDocument/2006/relationships" r:id="Rc19ea27be04143e5"/>
  <x:tableParts count="1">
    <x:tablePart xmlns:r="http://schemas.openxmlformats.org/officeDocument/2006/relationships" r:id="R551bbcead1be4e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32" hidden="0" customWidth="1"/>
    <x:col min="9" max="9" width="12" hidden="0" customWidth="1"/>
    <x:col min="10" max="10" width="12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 ht="34" customHeight="1">
      <x:c r="A1" s="221" t="str">
        <x:v>观察清单</x:v>
      </x:c>
      <x:c r="B1" s="221" t="str">
        <x:v>观察清单</x:v>
      </x:c>
      <x:c r="C1" s="221" t="str">
        <x:v>观察清单</x:v>
      </x:c>
      <x:c r="D1" s="221" t="str">
        <x:v>观察清单</x:v>
      </x:c>
      <x:c r="E1" s="221" t="str">
        <x:v>观察清单</x:v>
      </x:c>
      <x:c r="F1" s="221" t="str">
        <x:v>观察清单</x:v>
      </x:c>
      <x:c r="G1" s="221" t="str">
        <x:v>观察清单</x:v>
      </x:c>
      <x:c r="H1" s="221" t="str">
        <x:v>观察清单</x:v>
      </x:c>
      <x:c r="I1" s="221" t="str">
        <x:v>观察清单</x:v>
      </x:c>
      <x:c r="J1" s="221" t="str">
        <x:v>观察清单</x:v>
      </x:c>
      <x:c r="K1" s="221" t="str">
        <x:v>观察清单</x:v>
      </x:c>
      <x:c r="L1" s="221" t="str">
        <x:v>观察清单</x:v>
      </x:c>
      <x:c r="M1" s="221" t="str">
        <x:v>观察清单</x:v>
      </x:c>
      <x:c r="N1" s="221" t="str">
        <x:v>观察清单</x:v>
      </x:c>
      <x:c r="O1" s="221" t="str">
        <x:v>观察清单</x:v>
      </x:c>
    </x:row>
    <x:row r="2" ht="30" customHeight="1">
      <x:c r="A2" s="222" t="str">
        <x:v>用于记录还没有进入机会扫描的卡、触发价格和来源链接。</x:v>
      </x:c>
      <x:c r="B2" s="222" t="str">
        <x:v>用于记录还没有进入机会扫描的卡、触发价格和来源链接。</x:v>
      </x:c>
      <x:c r="C2" s="222" t="str">
        <x:v>用于记录还没有进入机会扫描的卡、触发价格和来源链接。</x:v>
      </x:c>
      <x:c r="D2" s="222" t="str">
        <x:v>用于记录还没有进入机会扫描的卡、触发价格和来源链接。</x:v>
      </x:c>
      <x:c r="E2" s="222" t="str">
        <x:v>用于记录还没有进入机会扫描的卡、触发价格和来源链接。</x:v>
      </x:c>
      <x:c r="F2" s="222" t="str">
        <x:v>用于记录还没有进入机会扫描的卡、触发价格和来源链接。</x:v>
      </x:c>
      <x:c r="G2" s="222" t="str">
        <x:v>用于记录还没有进入机会扫描的卡、触发价格和来源链接。</x:v>
      </x:c>
      <x:c r="H2" s="222" t="str">
        <x:v>用于记录还没有进入机会扫描的卡、触发价格和来源链接。</x:v>
      </x:c>
      <x:c r="I2" s="223"/>
      <x:c r="J2" s="223"/>
      <x:c r="K2" s="223"/>
      <x:c r="L2" s="223"/>
      <x:c r="M2" s="223"/>
      <x:c r="N2" s="223"/>
      <x:c r="O2" s="223"/>
    </x:row>
    <x:row r="3">
      <x:c r="A3" s="223"/>
      <x:c r="B3" s="223"/>
      <x:c r="C3" s="223"/>
      <x:c r="D3" s="223"/>
      <x:c r="E3" s="223"/>
      <x:c r="F3" s="223"/>
      <x:c r="G3" s="223"/>
      <x:c r="H3" s="223"/>
      <x:c r="I3" s="223"/>
      <x:c r="J3" s="223"/>
      <x:c r="K3" s="223"/>
      <x:c r="L3" s="223"/>
      <x:c r="M3" s="223"/>
      <x:c r="N3" s="223"/>
      <x:c r="O3" s="223"/>
    </x:row>
    <x:row r="4">
      <x:c r="A4" s="309" t="str">
        <x:v>卡名</x:v>
      </x:c>
      <x:c r="B4" s="310" t="str">
        <x:v>系列/编号</x:v>
      </x:c>
      <x:c r="C4" s="310" t="str">
        <x:v>语言</x:v>
      </x:c>
      <x:c r="D4" s="310" t="str">
        <x:v>目标等级</x:v>
      </x:c>
      <x:c r="E4" s="310" t="str">
        <x:v>目标买入价</x:v>
      </x:c>
      <x:c r="F4" s="310" t="str">
        <x:v>目标卖出价</x:v>
      </x:c>
      <x:c r="G4" s="310" t="str">
        <x:v>主要平台</x:v>
      </x:c>
      <x:c r="H4" s="310" t="str">
        <x:v>触发条件</x:v>
      </x:c>
      <x:c r="I4" s="310" t="str">
        <x:v>当前状态</x:v>
      </x:c>
      <x:c r="J4" s="310" t="str">
        <x:v>最近查看</x:v>
      </x:c>
      <x:c r="K4" s="310" t="str">
        <x:v>eBay链接</x:v>
      </x:c>
      <x:c r="L4" s="310" t="str">
        <x:v>ALT链接</x:v>
      </x:c>
      <x:c r="M4" s="310" t="str">
        <x:v>Card Hobby链接</x:v>
      </x:c>
      <x:c r="N4" s="310" t="str">
        <x:v>Fanatics链接</x:v>
      </x:c>
      <x:c r="O4" s="311" t="str">
        <x:v>PokerColor链接</x:v>
      </x:c>
    </x:row>
    <x:row r="5">
      <x:c r="A5" s="223" t="str">
        <x:v>Pikachu Promo</x:v>
      </x:c>
      <x:c r="B5" s="223" t="str">
        <x:v>SV-P / Promo</x:v>
      </x:c>
      <x:c r="C5" s="223" t="str">
        <x:v>日文</x:v>
      </x:c>
      <x:c r="D5" s="223" t="str">
        <x:v>PSA10</x:v>
      </x:c>
      <x:c r="E5" s="282" t="n">
        <x:v>900</x:v>
      </x:c>
      <x:c r="F5" s="282" t="n">
        <x:v>1250</x:v>
      </x:c>
      <x:c r="G5" s="223" t="str">
        <x:v>Card Hobby</x:v>
      </x:c>
      <x:c r="H5" s="223" t="str">
        <x:v>低于目标买入价且证书清晰</x:v>
      </x:c>
      <x:c r="I5" s="223" t="str">
        <x:v>跟踪</x:v>
      </x:c>
      <x:c r="J5" s="292" t="n">
        <x:v>46227</x:v>
      </x:c>
      <x:c r="K5" s="223" t="str"/>
      <x:c r="L5" s="223" t="str"/>
      <x:c r="M5" s="223" t="str"/>
      <x:c r="N5" s="223" t="str"/>
      <x:c r="O5" s="223" t="str"/>
    </x:row>
    <x:row r="6">
      <x:c r="A6" s="223" t="str">
        <x:v>Charizard ex SAR</x:v>
      </x:c>
      <x:c r="B6" s="223" t="str">
        <x:v>SV / SAR</x:v>
      </x:c>
      <x:c r="C6" s="223" t="str">
        <x:v>日文</x:v>
      </x:c>
      <x:c r="D6" s="223" t="str">
        <x:v>PSA10</x:v>
      </x:c>
      <x:c r="E6" s="282" t="n">
        <x:v>1650</x:v>
      </x:c>
      <x:c r="F6" s="282" t="n">
        <x:v>2150</x:v>
      </x:c>
      <x:c r="G6" s="223" t="str">
        <x:v>PokerColor</x:v>
      </x:c>
      <x:c r="H6" s="223" t="str">
        <x:v>卖盘低于近30日均价15%</x:v>
      </x:c>
      <x:c r="I6" s="223" t="str">
        <x:v>跟踪</x:v>
      </x:c>
      <x:c r="J6" s="292" t="n">
        <x:v>46227</x:v>
      </x:c>
      <x:c r="K6" s="223" t="str"/>
      <x:c r="L6" s="223" t="str"/>
      <x:c r="M6" s="223" t="str"/>
      <x:c r="N6" s="223" t="str"/>
      <x:c r="O6" s="223" t="str"/>
    </x:row>
    <x:row r="7">
      <x:c r="A7" s="223" t="str">
        <x:v>Lillie Full Art</x:v>
      </x:c>
      <x:c r="B7" s="223" t="str">
        <x:v>SM / Trainer</x:v>
      </x:c>
      <x:c r="C7" s="223" t="str">
        <x:v>日文</x:v>
      </x:c>
      <x:c r="D7" s="223" t="str">
        <x:v>PSA10</x:v>
      </x:c>
      <x:c r="E7" s="282" t="n">
        <x:v>6100</x:v>
      </x:c>
      <x:c r="F7" s="282" t="n">
        <x:v>7500</x:v>
      </x:c>
      <x:c r="G7" s="223" t="str">
        <x:v>PokerColor</x:v>
      </x:c>
      <x:c r="H7" s="223" t="str">
        <x:v>证书、壳和成交记录全部确认</x:v>
      </x:c>
      <x:c r="I7" s="223" t="str">
        <x:v>谨慎</x:v>
      </x:c>
      <x:c r="J7" s="292" t="n">
        <x:v>46227</x:v>
      </x:c>
      <x:c r="K7" s="223" t="str"/>
      <x:c r="L7" s="223" t="str"/>
      <x:c r="M7" s="223" t="str"/>
      <x:c r="N7" s="223" t="str"/>
      <x:c r="O7" s="223" t="str"/>
    </x:row>
    <x:row r="8">
      <x:c r="A8" s="223" t="str">
        <x:v>Gengar VMAX Alt Art</x:v>
      </x:c>
      <x:c r="B8" s="223" t="str">
        <x:v>Fusion Strike</x:v>
      </x:c>
      <x:c r="C8" s="223" t="str">
        <x:v>英文</x:v>
      </x:c>
      <x:c r="D8" s="223" t="str">
        <x:v>PSA10</x:v>
      </x:c>
      <x:c r="E8" s="282" t="n">
        <x:v>0</x:v>
      </x:c>
      <x:c r="F8" s="282" t="n">
        <x:v>0</x:v>
      </x:c>
      <x:c r="G8" s="223" t="str">
        <x:v>eBay</x:v>
      </x:c>
      <x:c r="H8" s="223" t="str">
        <x:v>等待成交数据</x:v>
      </x:c>
      <x:c r="I8" s="223" t="str">
        <x:v>待研究</x:v>
      </x:c>
      <x:c r="J8" s="292" t="n">
        <x:v>46227</x:v>
      </x:c>
      <x:c r="K8" s="223" t="str"/>
      <x:c r="L8" s="223" t="str"/>
      <x:c r="M8" s="223" t="str"/>
      <x:c r="N8" s="223" t="str"/>
      <x:c r="O8" s="223" t="str"/>
    </x:row>
    <x:row r="9">
      <x:c r="A9" s="223" t="str">
        <x:v>Mewtwo GX Secret</x:v>
      </x:c>
      <x:c r="B9" s="223" t="str">
        <x:v>SM</x:v>
      </x:c>
      <x:c r="C9" s="223" t="str">
        <x:v>日文</x:v>
      </x:c>
      <x:c r="D9" s="223" t="str">
        <x:v>PSA10</x:v>
      </x:c>
      <x:c r="E9" s="282" t="n">
        <x:v>0</x:v>
      </x:c>
      <x:c r="F9" s="282" t="n">
        <x:v>0</x:v>
      </x:c>
      <x:c r="G9" s="223" t="str">
        <x:v>ALT</x:v>
      </x:c>
      <x:c r="H9" s="223" t="str">
        <x:v>等待低价拍卖</x:v>
      </x:c>
      <x:c r="I9" s="223" t="str">
        <x:v>待研究</x:v>
      </x:c>
      <x:c r="J9" s="292" t="n">
        <x:v>46227</x:v>
      </x:c>
      <x:c r="K9" s="223" t="str"/>
      <x:c r="L9" s="223" t="str"/>
      <x:c r="M9" s="223" t="str"/>
      <x:c r="N9" s="223" t="str"/>
      <x:c r="O9" s="223" t="str"/>
    </x:row>
    <x:row r="10">
      <x:c r="A10" s="223"/>
      <x:c r="B10" s="223"/>
      <x:c r="C10" s="223"/>
      <x:c r="D10" s="223"/>
      <x:c r="E10" s="282"/>
      <x:c r="F10" s="282"/>
      <x:c r="G10" s="223"/>
      <x:c r="H10" s="223"/>
      <x:c r="I10" s="223"/>
      <x:c r="J10" s="292"/>
      <x:c r="K10" s="223"/>
      <x:c r="L10" s="223"/>
      <x:c r="M10" s="223"/>
      <x:c r="N10" s="223"/>
      <x:c r="O10" s="223"/>
    </x:row>
    <x:row r="11">
      <x:c r="A11" s="223"/>
      <x:c r="B11" s="223"/>
      <x:c r="C11" s="223"/>
      <x:c r="D11" s="223"/>
      <x:c r="E11" s="282"/>
      <x:c r="F11" s="282"/>
      <x:c r="G11" s="223"/>
      <x:c r="H11" s="223"/>
      <x:c r="I11" s="223"/>
      <x:c r="J11" s="292"/>
      <x:c r="K11" s="223"/>
      <x:c r="L11" s="223"/>
      <x:c r="M11" s="223"/>
      <x:c r="N11" s="223"/>
      <x:c r="O11" s="223"/>
    </x:row>
    <x:row r="12">
      <x:c r="A12" s="223"/>
      <x:c r="B12" s="223"/>
      <x:c r="C12" s="223"/>
      <x:c r="D12" s="223"/>
      <x:c r="E12" s="282"/>
      <x:c r="F12" s="282"/>
      <x:c r="G12" s="223"/>
      <x:c r="H12" s="223"/>
      <x:c r="I12" s="223"/>
      <x:c r="J12" s="292"/>
      <x:c r="K12" s="223"/>
      <x:c r="L12" s="223"/>
      <x:c r="M12" s="223"/>
      <x:c r="N12" s="223"/>
      <x:c r="O12" s="223"/>
    </x:row>
    <x:row r="13">
      <x:c r="A13" s="223"/>
      <x:c r="B13" s="223"/>
      <x:c r="C13" s="223"/>
      <x:c r="D13" s="223"/>
      <x:c r="E13" s="282"/>
      <x:c r="F13" s="282"/>
      <x:c r="G13" s="223"/>
      <x:c r="H13" s="223"/>
      <x:c r="I13" s="223"/>
      <x:c r="J13" s="292"/>
      <x:c r="K13" s="223"/>
      <x:c r="L13" s="223"/>
      <x:c r="M13" s="223"/>
      <x:c r="N13" s="223"/>
      <x:c r="O13" s="223"/>
    </x:row>
    <x:row r="14">
      <x:c r="A14" s="223"/>
      <x:c r="B14" s="223"/>
      <x:c r="C14" s="223"/>
      <x:c r="D14" s="223"/>
      <x:c r="E14" s="282"/>
      <x:c r="F14" s="282"/>
      <x:c r="G14" s="223"/>
      <x:c r="H14" s="223"/>
      <x:c r="I14" s="223"/>
      <x:c r="J14" s="292"/>
      <x:c r="K14" s="223"/>
      <x:c r="L14" s="223"/>
      <x:c r="M14" s="223"/>
      <x:c r="N14" s="223"/>
      <x:c r="O14" s="223"/>
    </x:row>
    <x:row r="15">
      <x:c r="A15" s="223"/>
      <x:c r="B15" s="223"/>
      <x:c r="C15" s="223"/>
      <x:c r="D15" s="223"/>
      <x:c r="E15" s="282"/>
      <x:c r="F15" s="282"/>
      <x:c r="G15" s="223"/>
      <x:c r="H15" s="223"/>
      <x:c r="I15" s="223"/>
      <x:c r="J15" s="292"/>
      <x:c r="K15" s="223"/>
      <x:c r="L15" s="223"/>
      <x:c r="M15" s="223"/>
      <x:c r="N15" s="223"/>
      <x:c r="O15" s="223"/>
    </x:row>
    <x:row r="16">
      <x:c r="A16" s="223"/>
      <x:c r="B16" s="223"/>
      <x:c r="C16" s="223"/>
      <x:c r="D16" s="223"/>
      <x:c r="E16" s="282"/>
      <x:c r="F16" s="282"/>
      <x:c r="G16" s="223"/>
      <x:c r="H16" s="223"/>
      <x:c r="I16" s="223"/>
      <x:c r="J16" s="292"/>
      <x:c r="K16" s="223"/>
      <x:c r="L16" s="223"/>
      <x:c r="M16" s="223"/>
      <x:c r="N16" s="223"/>
      <x:c r="O16" s="223"/>
    </x:row>
    <x:row r="17">
      <x:c r="A17" s="223"/>
      <x:c r="B17" s="223"/>
      <x:c r="C17" s="223"/>
      <x:c r="D17" s="223"/>
      <x:c r="E17" s="282"/>
      <x:c r="F17" s="282"/>
      <x:c r="G17" s="223"/>
      <x:c r="H17" s="223"/>
      <x:c r="I17" s="223"/>
      <x:c r="J17" s="292"/>
      <x:c r="K17" s="223"/>
      <x:c r="L17" s="223"/>
      <x:c r="M17" s="223"/>
      <x:c r="N17" s="223"/>
      <x:c r="O17" s="223"/>
    </x:row>
    <x:row r="18">
      <x:c r="A18" s="223"/>
      <x:c r="B18" s="223"/>
      <x:c r="C18" s="223"/>
      <x:c r="D18" s="223"/>
      <x:c r="E18" s="282"/>
      <x:c r="F18" s="282"/>
      <x:c r="G18" s="223"/>
      <x:c r="H18" s="223"/>
      <x:c r="I18" s="223"/>
      <x:c r="J18" s="292"/>
      <x:c r="K18" s="223"/>
      <x:c r="L18" s="223"/>
      <x:c r="M18" s="223"/>
      <x:c r="N18" s="223"/>
      <x:c r="O18" s="223"/>
    </x:row>
    <x:row r="19">
      <x:c r="A19" s="223"/>
      <x:c r="B19" s="223"/>
      <x:c r="C19" s="223"/>
      <x:c r="D19" s="223"/>
      <x:c r="E19" s="282"/>
      <x:c r="F19" s="282"/>
      <x:c r="G19" s="223"/>
      <x:c r="H19" s="223"/>
      <x:c r="I19" s="223"/>
      <x:c r="J19" s="292"/>
      <x:c r="K19" s="223"/>
      <x:c r="L19" s="223"/>
      <x:c r="M19" s="223"/>
      <x:c r="N19" s="223"/>
      <x:c r="O19" s="223"/>
    </x:row>
    <x:row r="20">
      <x:c r="A20" s="223"/>
      <x:c r="B20" s="223"/>
      <x:c r="C20" s="223"/>
      <x:c r="D20" s="223"/>
      <x:c r="E20" s="282"/>
      <x:c r="F20" s="282"/>
      <x:c r="G20" s="223"/>
      <x:c r="H20" s="223"/>
      <x:c r="I20" s="223"/>
      <x:c r="J20" s="292"/>
      <x:c r="K20" s="223"/>
      <x:c r="L20" s="223"/>
      <x:c r="M20" s="223"/>
      <x:c r="N20" s="223"/>
      <x:c r="O20" s="223"/>
    </x:row>
    <x:row r="21">
      <x:c r="A21" s="223"/>
      <x:c r="B21" s="223"/>
      <x:c r="C21" s="223"/>
      <x:c r="D21" s="223"/>
      <x:c r="E21" s="282"/>
      <x:c r="F21" s="282"/>
      <x:c r="G21" s="223"/>
      <x:c r="H21" s="223"/>
      <x:c r="I21" s="223"/>
      <x:c r="J21" s="292"/>
      <x:c r="K21" s="223"/>
      <x:c r="L21" s="223"/>
      <x:c r="M21" s="223"/>
      <x:c r="N21" s="223"/>
      <x:c r="O21" s="223"/>
    </x:row>
    <x:row r="22">
      <x:c r="A22" s="223"/>
      <x:c r="B22" s="223"/>
      <x:c r="C22" s="223"/>
      <x:c r="D22" s="223"/>
      <x:c r="E22" s="282"/>
      <x:c r="F22" s="282"/>
      <x:c r="G22" s="223"/>
      <x:c r="H22" s="223"/>
      <x:c r="I22" s="223"/>
      <x:c r="J22" s="292"/>
      <x:c r="K22" s="223"/>
      <x:c r="L22" s="223"/>
      <x:c r="M22" s="223"/>
      <x:c r="N22" s="223"/>
      <x:c r="O22" s="223"/>
    </x:row>
    <x:row r="23">
      <x:c r="A23" s="223"/>
      <x:c r="B23" s="223"/>
      <x:c r="C23" s="223"/>
      <x:c r="D23" s="223"/>
      <x:c r="E23" s="282"/>
      <x:c r="F23" s="282"/>
      <x:c r="G23" s="223"/>
      <x:c r="H23" s="223"/>
      <x:c r="I23" s="223"/>
      <x:c r="J23" s="292"/>
      <x:c r="K23" s="223"/>
      <x:c r="L23" s="223"/>
      <x:c r="M23" s="223"/>
      <x:c r="N23" s="223"/>
      <x:c r="O23" s="223"/>
    </x:row>
    <x:row r="24">
      <x:c r="A24" s="223"/>
      <x:c r="B24" s="223"/>
      <x:c r="C24" s="223"/>
      <x:c r="D24" s="223"/>
      <x:c r="E24" s="282"/>
      <x:c r="F24" s="282"/>
      <x:c r="G24" s="223"/>
      <x:c r="H24" s="223"/>
      <x:c r="I24" s="223"/>
      <x:c r="J24" s="292"/>
      <x:c r="K24" s="223"/>
      <x:c r="L24" s="223"/>
      <x:c r="M24" s="223"/>
      <x:c r="N24" s="223"/>
      <x:c r="O24" s="223"/>
    </x:row>
    <x:row r="25">
      <x:c r="A25" s="223"/>
      <x:c r="B25" s="223"/>
      <x:c r="C25" s="223"/>
      <x:c r="D25" s="223"/>
      <x:c r="E25" s="282"/>
      <x:c r="F25" s="282"/>
      <x:c r="G25" s="223"/>
      <x:c r="H25" s="223"/>
      <x:c r="I25" s="223"/>
      <x:c r="J25" s="292"/>
      <x:c r="K25" s="223"/>
      <x:c r="L25" s="223"/>
      <x:c r="M25" s="223"/>
      <x:c r="N25" s="223"/>
      <x:c r="O25" s="223"/>
    </x:row>
    <x:row r="26">
      <x:c r="A26" s="223"/>
      <x:c r="B26" s="223"/>
      <x:c r="C26" s="223"/>
      <x:c r="D26" s="223"/>
      <x:c r="E26" s="282"/>
      <x:c r="F26" s="282"/>
      <x:c r="G26" s="223"/>
      <x:c r="H26" s="223"/>
      <x:c r="I26" s="223"/>
      <x:c r="J26" s="292"/>
      <x:c r="K26" s="223"/>
      <x:c r="L26" s="223"/>
      <x:c r="M26" s="223"/>
      <x:c r="N26" s="223"/>
      <x:c r="O26" s="223"/>
    </x:row>
    <x:row r="27">
      <x:c r="A27" s="223"/>
      <x:c r="B27" s="223"/>
      <x:c r="C27" s="223"/>
      <x:c r="D27" s="223"/>
      <x:c r="E27" s="282"/>
      <x:c r="F27" s="282"/>
      <x:c r="G27" s="223"/>
      <x:c r="H27" s="223"/>
      <x:c r="I27" s="223"/>
      <x:c r="J27" s="292"/>
      <x:c r="K27" s="223"/>
      <x:c r="L27" s="223"/>
      <x:c r="M27" s="223"/>
      <x:c r="N27" s="223"/>
      <x:c r="O27" s="223"/>
    </x:row>
    <x:row r="28">
      <x:c r="A28" s="223"/>
      <x:c r="B28" s="223"/>
      <x:c r="C28" s="223"/>
      <x:c r="D28" s="223"/>
      <x:c r="E28" s="282"/>
      <x:c r="F28" s="282"/>
      <x:c r="G28" s="223"/>
      <x:c r="H28" s="223"/>
      <x:c r="I28" s="223"/>
      <x:c r="J28" s="292"/>
      <x:c r="K28" s="223"/>
      <x:c r="L28" s="223"/>
      <x:c r="M28" s="223"/>
      <x:c r="N28" s="223"/>
      <x:c r="O28" s="223"/>
    </x:row>
    <x:row r="29">
      <x:c r="A29" s="223"/>
      <x:c r="B29" s="223"/>
      <x:c r="C29" s="223"/>
      <x:c r="D29" s="223"/>
      <x:c r="E29" s="282"/>
      <x:c r="F29" s="282"/>
      <x:c r="G29" s="223"/>
      <x:c r="H29" s="223"/>
      <x:c r="I29" s="223"/>
      <x:c r="J29" s="292"/>
      <x:c r="K29" s="223"/>
      <x:c r="L29" s="223"/>
      <x:c r="M29" s="223"/>
      <x:c r="N29" s="223"/>
      <x:c r="O29" s="223"/>
    </x:row>
    <x:row r="30">
      <x:c r="A30" s="223"/>
      <x:c r="B30" s="223"/>
      <x:c r="C30" s="223"/>
      <x:c r="D30" s="223"/>
      <x:c r="E30" s="282"/>
      <x:c r="F30" s="282"/>
      <x:c r="G30" s="223"/>
      <x:c r="H30" s="223"/>
      <x:c r="I30" s="223"/>
      <x:c r="J30" s="292"/>
      <x:c r="K30" s="223"/>
      <x:c r="L30" s="223"/>
      <x:c r="M30" s="223"/>
      <x:c r="N30" s="223"/>
      <x:c r="O30" s="223"/>
    </x:row>
    <x:row r="31">
      <x:c r="A31" s="223"/>
      <x:c r="B31" s="223"/>
      <x:c r="C31" s="223"/>
      <x:c r="D31" s="223"/>
      <x:c r="E31" s="282"/>
      <x:c r="F31" s="282"/>
      <x:c r="G31" s="223"/>
      <x:c r="H31" s="223"/>
      <x:c r="I31" s="223"/>
      <x:c r="J31" s="292"/>
      <x:c r="K31" s="223"/>
      <x:c r="L31" s="223"/>
      <x:c r="M31" s="223"/>
      <x:c r="N31" s="223"/>
      <x:c r="O31" s="223"/>
    </x:row>
    <x:row r="32">
      <x:c r="A32" s="223"/>
      <x:c r="B32" s="223"/>
      <x:c r="C32" s="223"/>
      <x:c r="D32" s="223"/>
      <x:c r="E32" s="282"/>
      <x:c r="F32" s="282"/>
      <x:c r="G32" s="223"/>
      <x:c r="H32" s="223"/>
      <x:c r="I32" s="223"/>
      <x:c r="J32" s="292"/>
      <x:c r="K32" s="223"/>
      <x:c r="L32" s="223"/>
      <x:c r="M32" s="223"/>
      <x:c r="N32" s="223"/>
      <x:c r="O32" s="223"/>
    </x:row>
    <x:row r="33">
      <x:c r="A33" s="223"/>
      <x:c r="B33" s="223"/>
      <x:c r="C33" s="223"/>
      <x:c r="D33" s="223"/>
      <x:c r="E33" s="282"/>
      <x:c r="F33" s="282"/>
      <x:c r="G33" s="223"/>
      <x:c r="H33" s="223"/>
      <x:c r="I33" s="223"/>
      <x:c r="J33" s="292"/>
      <x:c r="K33" s="223"/>
      <x:c r="L33" s="223"/>
      <x:c r="M33" s="223"/>
      <x:c r="N33" s="223"/>
      <x:c r="O33" s="223"/>
    </x:row>
    <x:row r="34">
      <x:c r="A34" s="223"/>
      <x:c r="B34" s="223"/>
      <x:c r="C34" s="223"/>
      <x:c r="D34" s="223"/>
      <x:c r="E34" s="282"/>
      <x:c r="F34" s="282"/>
      <x:c r="G34" s="223"/>
      <x:c r="H34" s="223"/>
      <x:c r="I34" s="223"/>
      <x:c r="J34" s="292"/>
      <x:c r="K34" s="223"/>
      <x:c r="L34" s="223"/>
      <x:c r="M34" s="223"/>
      <x:c r="N34" s="223"/>
      <x:c r="O34" s="223"/>
    </x:row>
    <x:row r="35">
      <x:c r="A35" s="223"/>
      <x:c r="B35" s="223"/>
      <x:c r="C35" s="223"/>
      <x:c r="D35" s="223"/>
      <x:c r="E35" s="282"/>
      <x:c r="F35" s="282"/>
      <x:c r="G35" s="223"/>
      <x:c r="H35" s="223"/>
      <x:c r="I35" s="223"/>
      <x:c r="J35" s="292"/>
      <x:c r="K35" s="223"/>
      <x:c r="L35" s="223"/>
      <x:c r="M35" s="223"/>
      <x:c r="N35" s="223"/>
      <x:c r="O35" s="223"/>
    </x:row>
    <x:row r="36">
      <x:c r="A36" s="223"/>
      <x:c r="B36" s="223"/>
      <x:c r="C36" s="223"/>
      <x:c r="D36" s="223"/>
      <x:c r="E36" s="282"/>
      <x:c r="F36" s="282"/>
      <x:c r="G36" s="223"/>
      <x:c r="H36" s="223"/>
      <x:c r="I36" s="223"/>
      <x:c r="J36" s="292"/>
      <x:c r="K36" s="223"/>
      <x:c r="L36" s="223"/>
      <x:c r="M36" s="223"/>
      <x:c r="N36" s="223"/>
      <x:c r="O36" s="223"/>
    </x:row>
    <x:row r="37">
      <x:c r="A37" s="223"/>
      <x:c r="B37" s="223"/>
      <x:c r="C37" s="223"/>
      <x:c r="D37" s="223"/>
      <x:c r="E37" s="282"/>
      <x:c r="F37" s="282"/>
      <x:c r="G37" s="223"/>
      <x:c r="H37" s="223"/>
      <x:c r="I37" s="223"/>
      <x:c r="J37" s="292"/>
      <x:c r="K37" s="223"/>
      <x:c r="L37" s="223"/>
      <x:c r="M37" s="223"/>
      <x:c r="N37" s="223"/>
      <x:c r="O37" s="223"/>
    </x:row>
    <x:row r="38">
      <x:c r="A38" s="223"/>
      <x:c r="B38" s="223"/>
      <x:c r="C38" s="223"/>
      <x:c r="D38" s="223"/>
      <x:c r="E38" s="282"/>
      <x:c r="F38" s="282"/>
      <x:c r="G38" s="223"/>
      <x:c r="H38" s="223"/>
      <x:c r="I38" s="223"/>
      <x:c r="J38" s="292"/>
      <x:c r="K38" s="223"/>
      <x:c r="L38" s="223"/>
      <x:c r="M38" s="223"/>
      <x:c r="N38" s="223"/>
      <x:c r="O38" s="223"/>
    </x:row>
    <x:row r="39">
      <x:c r="A39" s="223"/>
      <x:c r="B39" s="223"/>
      <x:c r="C39" s="223"/>
      <x:c r="D39" s="223"/>
      <x:c r="E39" s="282"/>
      <x:c r="F39" s="282"/>
      <x:c r="G39" s="223"/>
      <x:c r="H39" s="223"/>
      <x:c r="I39" s="223"/>
      <x:c r="J39" s="292"/>
      <x:c r="K39" s="223"/>
      <x:c r="L39" s="223"/>
      <x:c r="M39" s="223"/>
      <x:c r="N39" s="223"/>
      <x:c r="O39" s="223"/>
    </x:row>
    <x:row r="40">
      <x:c r="A40" s="223"/>
      <x:c r="B40" s="223"/>
      <x:c r="C40" s="223"/>
      <x:c r="D40" s="223"/>
      <x:c r="E40" s="282"/>
      <x:c r="F40" s="282"/>
      <x:c r="G40" s="223"/>
      <x:c r="H40" s="223"/>
      <x:c r="I40" s="223"/>
      <x:c r="J40" s="292"/>
      <x:c r="K40" s="223"/>
      <x:c r="L40" s="223"/>
      <x:c r="M40" s="223"/>
      <x:c r="N40" s="223"/>
      <x:c r="O40" s="223"/>
    </x:row>
    <x:row r="41">
      <x:c r="A41" s="223"/>
      <x:c r="B41" s="223"/>
      <x:c r="C41" s="223"/>
      <x:c r="D41" s="223"/>
      <x:c r="E41" s="282"/>
      <x:c r="F41" s="282"/>
      <x:c r="G41" s="223"/>
      <x:c r="H41" s="223"/>
      <x:c r="I41" s="223"/>
      <x:c r="J41" s="292"/>
      <x:c r="K41" s="223"/>
      <x:c r="L41" s="223"/>
      <x:c r="M41" s="223"/>
      <x:c r="N41" s="223"/>
      <x:c r="O41" s="223"/>
    </x:row>
    <x:row r="42">
      <x:c r="A42" s="223"/>
      <x:c r="B42" s="223"/>
      <x:c r="C42" s="223"/>
      <x:c r="D42" s="223"/>
      <x:c r="E42" s="282"/>
      <x:c r="F42" s="282"/>
      <x:c r="G42" s="223"/>
      <x:c r="H42" s="223"/>
      <x:c r="I42" s="223"/>
      <x:c r="J42" s="292"/>
      <x:c r="K42" s="223"/>
      <x:c r="L42" s="223"/>
      <x:c r="M42" s="223"/>
      <x:c r="N42" s="223"/>
      <x:c r="O42" s="223"/>
    </x:row>
    <x:row r="43">
      <x:c r="A43" s="223"/>
      <x:c r="B43" s="223"/>
      <x:c r="C43" s="223"/>
      <x:c r="D43" s="223"/>
      <x:c r="E43" s="282"/>
      <x:c r="F43" s="282"/>
      <x:c r="G43" s="223"/>
      <x:c r="H43" s="223"/>
      <x:c r="I43" s="223"/>
      <x:c r="J43" s="292"/>
      <x:c r="K43" s="223"/>
      <x:c r="L43" s="223"/>
      <x:c r="M43" s="223"/>
      <x:c r="N43" s="223"/>
      <x:c r="O43" s="223"/>
    </x:row>
    <x:row r="44">
      <x:c r="A44" s="223"/>
      <x:c r="B44" s="223"/>
      <x:c r="C44" s="223"/>
      <x:c r="D44" s="223"/>
      <x:c r="E44" s="282"/>
      <x:c r="F44" s="282"/>
      <x:c r="G44" s="223"/>
      <x:c r="H44" s="223"/>
      <x:c r="I44" s="223"/>
      <x:c r="J44" s="292"/>
      <x:c r="K44" s="223"/>
      <x:c r="L44" s="223"/>
      <x:c r="M44" s="223"/>
      <x:c r="N44" s="223"/>
      <x:c r="O44" s="223"/>
    </x:row>
    <x:row r="45">
      <x:c r="A45" s="223"/>
      <x:c r="B45" s="223"/>
      <x:c r="C45" s="223"/>
      <x:c r="D45" s="223"/>
      <x:c r="E45" s="282"/>
      <x:c r="F45" s="282"/>
      <x:c r="G45" s="223"/>
      <x:c r="H45" s="223"/>
      <x:c r="I45" s="223"/>
      <x:c r="J45" s="292"/>
      <x:c r="K45" s="223"/>
      <x:c r="L45" s="223"/>
      <x:c r="M45" s="223"/>
      <x:c r="N45" s="223"/>
      <x:c r="O45" s="223"/>
    </x:row>
    <x:row r="46">
      <x:c r="A46" s="223"/>
      <x:c r="B46" s="223"/>
      <x:c r="C46" s="223"/>
      <x:c r="D46" s="223"/>
      <x:c r="E46" s="282"/>
      <x:c r="F46" s="282"/>
      <x:c r="G46" s="223"/>
      <x:c r="H46" s="223"/>
      <x:c r="I46" s="223"/>
      <x:c r="J46" s="292"/>
      <x:c r="K46" s="223"/>
      <x:c r="L46" s="223"/>
      <x:c r="M46" s="223"/>
      <x:c r="N46" s="223"/>
      <x:c r="O46" s="223"/>
    </x:row>
    <x:row r="47">
      <x:c r="A47" s="223"/>
      <x:c r="B47" s="223"/>
      <x:c r="C47" s="223"/>
      <x:c r="D47" s="223"/>
      <x:c r="E47" s="282"/>
      <x:c r="F47" s="282"/>
      <x:c r="G47" s="223"/>
      <x:c r="H47" s="223"/>
      <x:c r="I47" s="223"/>
      <x:c r="J47" s="292"/>
      <x:c r="K47" s="223"/>
      <x:c r="L47" s="223"/>
      <x:c r="M47" s="223"/>
      <x:c r="N47" s="223"/>
      <x:c r="O47" s="223"/>
    </x:row>
    <x:row r="48">
      <x:c r="A48" s="223"/>
      <x:c r="B48" s="223"/>
      <x:c r="C48" s="223"/>
      <x:c r="D48" s="223"/>
      <x:c r="E48" s="282"/>
      <x:c r="F48" s="282"/>
      <x:c r="G48" s="223"/>
      <x:c r="H48" s="223"/>
      <x:c r="I48" s="223"/>
      <x:c r="J48" s="292"/>
      <x:c r="K48" s="223"/>
      <x:c r="L48" s="223"/>
      <x:c r="M48" s="223"/>
      <x:c r="N48" s="223"/>
      <x:c r="O48" s="223"/>
    </x:row>
    <x:row r="49">
      <x:c r="A49" s="223"/>
      <x:c r="B49" s="223"/>
      <x:c r="C49" s="223"/>
      <x:c r="D49" s="223"/>
      <x:c r="E49" s="282"/>
      <x:c r="F49" s="282"/>
      <x:c r="G49" s="223"/>
      <x:c r="H49" s="223"/>
      <x:c r="I49" s="223"/>
      <x:c r="J49" s="292"/>
      <x:c r="K49" s="223"/>
      <x:c r="L49" s="223"/>
      <x:c r="M49" s="223"/>
      <x:c r="N49" s="223"/>
      <x:c r="O49" s="223"/>
    </x:row>
    <x:row r="50">
      <x:c r="A50" s="223"/>
      <x:c r="B50" s="223"/>
      <x:c r="C50" s="223"/>
      <x:c r="D50" s="223"/>
      <x:c r="E50" s="282"/>
      <x:c r="F50" s="282"/>
      <x:c r="G50" s="223"/>
      <x:c r="H50" s="223"/>
      <x:c r="I50" s="223"/>
      <x:c r="J50" s="292"/>
      <x:c r="K50" s="223"/>
      <x:c r="L50" s="223"/>
      <x:c r="M50" s="223"/>
      <x:c r="N50" s="223"/>
      <x:c r="O50" s="223"/>
    </x:row>
    <x:row r="51">
      <x:c r="A51" s="223"/>
      <x:c r="B51" s="223"/>
      <x:c r="C51" s="223"/>
      <x:c r="D51" s="223"/>
      <x:c r="E51" s="282"/>
      <x:c r="F51" s="282"/>
      <x:c r="G51" s="223"/>
      <x:c r="H51" s="223"/>
      <x:c r="I51" s="223"/>
      <x:c r="J51" s="292"/>
      <x:c r="K51" s="223"/>
      <x:c r="L51" s="223"/>
      <x:c r="M51" s="223"/>
      <x:c r="N51" s="223"/>
      <x:c r="O51" s="223"/>
    </x:row>
    <x:row r="52">
      <x:c r="A52" s="223"/>
      <x:c r="B52" s="223"/>
      <x:c r="C52" s="223"/>
      <x:c r="D52" s="223"/>
      <x:c r="E52" s="282"/>
      <x:c r="F52" s="282"/>
      <x:c r="G52" s="223"/>
      <x:c r="H52" s="223"/>
      <x:c r="I52" s="223"/>
      <x:c r="J52" s="292"/>
      <x:c r="K52" s="223"/>
      <x:c r="L52" s="223"/>
      <x:c r="M52" s="223"/>
      <x:c r="N52" s="223"/>
      <x:c r="O52" s="223"/>
    </x:row>
    <x:row r="53">
      <x:c r="A53" s="223"/>
      <x:c r="B53" s="223"/>
      <x:c r="C53" s="223"/>
      <x:c r="D53" s="223"/>
      <x:c r="E53" s="282"/>
      <x:c r="F53" s="282"/>
      <x:c r="G53" s="223"/>
      <x:c r="H53" s="223"/>
      <x:c r="I53" s="223"/>
      <x:c r="J53" s="292"/>
      <x:c r="K53" s="223"/>
      <x:c r="L53" s="223"/>
      <x:c r="M53" s="223"/>
      <x:c r="N53" s="223"/>
      <x:c r="O53" s="223"/>
    </x:row>
    <x:row r="54">
      <x:c r="A54" s="223"/>
      <x:c r="B54" s="223"/>
      <x:c r="C54" s="223"/>
      <x:c r="D54" s="223"/>
      <x:c r="E54" s="282"/>
      <x:c r="F54" s="282"/>
      <x:c r="G54" s="223"/>
      <x:c r="H54" s="223"/>
      <x:c r="I54" s="223"/>
      <x:c r="J54" s="292"/>
      <x:c r="K54" s="223"/>
      <x:c r="L54" s="223"/>
      <x:c r="M54" s="223"/>
      <x:c r="N54" s="223"/>
      <x:c r="O54" s="223"/>
    </x:row>
    <x:row r="55">
      <x:c r="A55" s="223"/>
      <x:c r="B55" s="223"/>
      <x:c r="C55" s="223"/>
      <x:c r="D55" s="223"/>
      <x:c r="E55" s="282"/>
      <x:c r="F55" s="282"/>
      <x:c r="G55" s="223"/>
      <x:c r="H55" s="223"/>
      <x:c r="I55" s="223"/>
      <x:c r="J55" s="292"/>
      <x:c r="K55" s="223"/>
      <x:c r="L55" s="223"/>
      <x:c r="M55" s="223"/>
      <x:c r="N55" s="223"/>
      <x:c r="O55" s="223"/>
    </x:row>
    <x:row r="56">
      <x:c r="A56" s="223"/>
      <x:c r="B56" s="223"/>
      <x:c r="C56" s="223"/>
      <x:c r="D56" s="223"/>
      <x:c r="E56" s="282"/>
      <x:c r="F56" s="282"/>
      <x:c r="G56" s="223"/>
      <x:c r="H56" s="223"/>
      <x:c r="I56" s="223"/>
      <x:c r="J56" s="292"/>
      <x:c r="K56" s="223"/>
      <x:c r="L56" s="223"/>
      <x:c r="M56" s="223"/>
      <x:c r="N56" s="223"/>
      <x:c r="O56" s="223"/>
    </x:row>
    <x:row r="57">
      <x:c r="A57" s="223"/>
      <x:c r="B57" s="223"/>
      <x:c r="C57" s="223"/>
      <x:c r="D57" s="223"/>
      <x:c r="E57" s="282"/>
      <x:c r="F57" s="282"/>
      <x:c r="G57" s="223"/>
      <x:c r="H57" s="223"/>
      <x:c r="I57" s="223"/>
      <x:c r="J57" s="292"/>
      <x:c r="K57" s="223"/>
      <x:c r="L57" s="223"/>
      <x:c r="M57" s="223"/>
      <x:c r="N57" s="223"/>
      <x:c r="O57" s="223"/>
    </x:row>
    <x:row r="58">
      <x:c r="A58" s="223"/>
      <x:c r="B58" s="223"/>
      <x:c r="C58" s="223"/>
      <x:c r="D58" s="223"/>
      <x:c r="E58" s="282"/>
      <x:c r="F58" s="282"/>
      <x:c r="G58" s="223"/>
      <x:c r="H58" s="223"/>
      <x:c r="I58" s="223"/>
      <x:c r="J58" s="292"/>
      <x:c r="K58" s="223"/>
      <x:c r="L58" s="223"/>
      <x:c r="M58" s="223"/>
      <x:c r="N58" s="223"/>
      <x:c r="O58" s="223"/>
    </x:row>
    <x:row r="59">
      <x:c r="A59" s="223"/>
      <x:c r="B59" s="223"/>
      <x:c r="C59" s="223"/>
      <x:c r="D59" s="223"/>
      <x:c r="E59" s="282"/>
      <x:c r="F59" s="282"/>
      <x:c r="G59" s="223"/>
      <x:c r="H59" s="223"/>
      <x:c r="I59" s="223"/>
      <x:c r="J59" s="292"/>
      <x:c r="K59" s="223"/>
      <x:c r="L59" s="223"/>
      <x:c r="M59" s="223"/>
      <x:c r="N59" s="223"/>
      <x:c r="O59" s="223"/>
    </x:row>
    <x:row r="60">
      <x:c r="A60" s="223"/>
      <x:c r="B60" s="223"/>
      <x:c r="C60" s="223"/>
      <x:c r="D60" s="223"/>
      <x:c r="E60" s="282"/>
      <x:c r="F60" s="282"/>
      <x:c r="G60" s="223"/>
      <x:c r="H60" s="223"/>
      <x:c r="I60" s="223"/>
      <x:c r="J60" s="292"/>
      <x:c r="K60" s="223"/>
      <x:c r="L60" s="223"/>
      <x:c r="M60" s="223"/>
      <x:c r="N60" s="223"/>
      <x:c r="O60" s="223"/>
    </x:row>
    <x:row r="61">
      <x:c r="A61" s="223"/>
      <x:c r="B61" s="223"/>
      <x:c r="C61" s="223"/>
      <x:c r="D61" s="223"/>
      <x:c r="E61" s="282"/>
      <x:c r="F61" s="282"/>
      <x:c r="G61" s="223"/>
      <x:c r="H61" s="223"/>
      <x:c r="I61" s="223"/>
      <x:c r="J61" s="292"/>
      <x:c r="K61" s="223"/>
      <x:c r="L61" s="223"/>
      <x:c r="M61" s="223"/>
      <x:c r="N61" s="223"/>
      <x:c r="O61" s="223"/>
    </x:row>
    <x:row r="62">
      <x:c r="A62" s="223"/>
      <x:c r="B62" s="223"/>
      <x:c r="C62" s="223"/>
      <x:c r="D62" s="223"/>
      <x:c r="E62" s="282"/>
      <x:c r="F62" s="282"/>
      <x:c r="G62" s="223"/>
      <x:c r="H62" s="223"/>
      <x:c r="I62" s="223"/>
      <x:c r="J62" s="292"/>
      <x:c r="K62" s="223"/>
      <x:c r="L62" s="223"/>
      <x:c r="M62" s="223"/>
      <x:c r="N62" s="223"/>
      <x:c r="O62" s="223"/>
    </x:row>
    <x:row r="63">
      <x:c r="A63" s="223"/>
      <x:c r="B63" s="223"/>
      <x:c r="C63" s="223"/>
      <x:c r="D63" s="223"/>
      <x:c r="E63" s="282"/>
      <x:c r="F63" s="282"/>
      <x:c r="G63" s="223"/>
      <x:c r="H63" s="223"/>
      <x:c r="I63" s="223"/>
      <x:c r="J63" s="292"/>
      <x:c r="K63" s="223"/>
      <x:c r="L63" s="223"/>
      <x:c r="M63" s="223"/>
      <x:c r="N63" s="223"/>
      <x:c r="O63" s="223"/>
    </x:row>
    <x:row r="64">
      <x:c r="A64" s="223"/>
      <x:c r="B64" s="223"/>
      <x:c r="C64" s="223"/>
      <x:c r="D64" s="223"/>
      <x:c r="E64" s="282"/>
      <x:c r="F64" s="282"/>
      <x:c r="G64" s="223"/>
      <x:c r="H64" s="223"/>
      <x:c r="I64" s="223"/>
      <x:c r="J64" s="292"/>
      <x:c r="K64" s="223"/>
      <x:c r="L64" s="223"/>
      <x:c r="M64" s="223"/>
      <x:c r="N64" s="223"/>
      <x:c r="O64" s="223"/>
    </x:row>
    <x:row r="65">
      <x:c r="A65" s="223"/>
      <x:c r="B65" s="223"/>
      <x:c r="C65" s="223"/>
      <x:c r="D65" s="223"/>
      <x:c r="E65" s="282"/>
      <x:c r="F65" s="282"/>
      <x:c r="G65" s="223"/>
      <x:c r="H65" s="223"/>
      <x:c r="I65" s="223"/>
      <x:c r="J65" s="292"/>
      <x:c r="K65" s="223"/>
      <x:c r="L65" s="223"/>
      <x:c r="M65" s="223"/>
      <x:c r="N65" s="223"/>
      <x:c r="O65" s="223"/>
    </x:row>
    <x:row r="66">
      <x:c r="A66" s="223"/>
      <x:c r="B66" s="223"/>
      <x:c r="C66" s="223"/>
      <x:c r="D66" s="223"/>
      <x:c r="E66" s="282"/>
      <x:c r="F66" s="282"/>
      <x:c r="G66" s="223"/>
      <x:c r="H66" s="223"/>
      <x:c r="I66" s="223"/>
      <x:c r="J66" s="292"/>
      <x:c r="K66" s="223"/>
      <x:c r="L66" s="223"/>
      <x:c r="M66" s="223"/>
      <x:c r="N66" s="223"/>
      <x:c r="O66" s="223"/>
    </x:row>
    <x:row r="67">
      <x:c r="A67" s="223"/>
      <x:c r="B67" s="223"/>
      <x:c r="C67" s="223"/>
      <x:c r="D67" s="223"/>
      <x:c r="E67" s="282"/>
      <x:c r="F67" s="282"/>
      <x:c r="G67" s="223"/>
      <x:c r="H67" s="223"/>
      <x:c r="I67" s="223"/>
      <x:c r="J67" s="292"/>
      <x:c r="K67" s="223"/>
      <x:c r="L67" s="223"/>
      <x:c r="M67" s="223"/>
      <x:c r="N67" s="223"/>
      <x:c r="O67" s="223"/>
    </x:row>
    <x:row r="68">
      <x:c r="A68" s="223"/>
      <x:c r="B68" s="223"/>
      <x:c r="C68" s="223"/>
      <x:c r="D68" s="223"/>
      <x:c r="E68" s="282"/>
      <x:c r="F68" s="282"/>
      <x:c r="G68" s="223"/>
      <x:c r="H68" s="223"/>
      <x:c r="I68" s="223"/>
      <x:c r="J68" s="292"/>
      <x:c r="K68" s="223"/>
      <x:c r="L68" s="223"/>
      <x:c r="M68" s="223"/>
      <x:c r="N68" s="223"/>
      <x:c r="O68" s="223"/>
    </x:row>
    <x:row r="69">
      <x:c r="A69" s="223"/>
      <x:c r="B69" s="223"/>
      <x:c r="C69" s="223"/>
      <x:c r="D69" s="223"/>
      <x:c r="E69" s="282"/>
      <x:c r="F69" s="282"/>
      <x:c r="G69" s="223"/>
      <x:c r="H69" s="223"/>
      <x:c r="I69" s="223"/>
      <x:c r="J69" s="292"/>
      <x:c r="K69" s="223"/>
      <x:c r="L69" s="223"/>
      <x:c r="M69" s="223"/>
      <x:c r="N69" s="223"/>
      <x:c r="O69" s="223"/>
    </x:row>
    <x:row r="70">
      <x:c r="A70" s="223"/>
      <x:c r="B70" s="223"/>
      <x:c r="C70" s="223"/>
      <x:c r="D70" s="223"/>
      <x:c r="E70" s="282"/>
      <x:c r="F70" s="282"/>
      <x:c r="G70" s="223"/>
      <x:c r="H70" s="223"/>
      <x:c r="I70" s="223"/>
      <x:c r="J70" s="292"/>
      <x:c r="K70" s="223"/>
      <x:c r="L70" s="223"/>
      <x:c r="M70" s="223"/>
      <x:c r="N70" s="223"/>
      <x:c r="O70" s="223"/>
    </x:row>
    <x:row r="71">
      <x:c r="A71" s="223"/>
      <x:c r="B71" s="223"/>
      <x:c r="C71" s="223"/>
      <x:c r="D71" s="223"/>
      <x:c r="E71" s="282"/>
      <x:c r="F71" s="282"/>
      <x:c r="G71" s="223"/>
      <x:c r="H71" s="223"/>
      <x:c r="I71" s="223"/>
      <x:c r="J71" s="292"/>
      <x:c r="K71" s="223"/>
      <x:c r="L71" s="223"/>
      <x:c r="M71" s="223"/>
      <x:c r="N71" s="223"/>
      <x:c r="O71" s="223"/>
    </x:row>
    <x:row r="72">
      <x:c r="A72" s="223"/>
      <x:c r="B72" s="223"/>
      <x:c r="C72" s="223"/>
      <x:c r="D72" s="223"/>
      <x:c r="E72" s="282"/>
      <x:c r="F72" s="282"/>
      <x:c r="G72" s="223"/>
      <x:c r="H72" s="223"/>
      <x:c r="I72" s="223"/>
      <x:c r="J72" s="292"/>
      <x:c r="K72" s="223"/>
      <x:c r="L72" s="223"/>
      <x:c r="M72" s="223"/>
      <x:c r="N72" s="223"/>
      <x:c r="O72" s="223"/>
    </x:row>
    <x:row r="73">
      <x:c r="A73" s="223"/>
      <x:c r="B73" s="223"/>
      <x:c r="C73" s="223"/>
      <x:c r="D73" s="223"/>
      <x:c r="E73" s="282"/>
      <x:c r="F73" s="282"/>
      <x:c r="G73" s="223"/>
      <x:c r="H73" s="223"/>
      <x:c r="I73" s="223"/>
      <x:c r="J73" s="292"/>
      <x:c r="K73" s="223"/>
      <x:c r="L73" s="223"/>
      <x:c r="M73" s="223"/>
      <x:c r="N73" s="223"/>
      <x:c r="O73" s="223"/>
    </x:row>
    <x:row r="74">
      <x:c r="A74" s="223"/>
      <x:c r="B74" s="223"/>
      <x:c r="C74" s="223"/>
      <x:c r="D74" s="223"/>
      <x:c r="E74" s="282"/>
      <x:c r="F74" s="282"/>
      <x:c r="G74" s="223"/>
      <x:c r="H74" s="223"/>
      <x:c r="I74" s="223"/>
      <x:c r="J74" s="292"/>
      <x:c r="K74" s="223"/>
      <x:c r="L74" s="223"/>
      <x:c r="M74" s="223"/>
      <x:c r="N74" s="223"/>
      <x:c r="O74" s="223"/>
    </x:row>
    <x:row r="75">
      <x:c r="A75" s="223"/>
      <x:c r="B75" s="223"/>
      <x:c r="C75" s="223"/>
      <x:c r="D75" s="223"/>
      <x:c r="E75" s="282"/>
      <x:c r="F75" s="282"/>
      <x:c r="G75" s="223"/>
      <x:c r="H75" s="223"/>
      <x:c r="I75" s="223"/>
      <x:c r="J75" s="292"/>
      <x:c r="K75" s="223"/>
      <x:c r="L75" s="223"/>
      <x:c r="M75" s="223"/>
      <x:c r="N75" s="223"/>
      <x:c r="O75" s="223"/>
    </x:row>
    <x:row r="76">
      <x:c r="A76" s="223"/>
      <x:c r="B76" s="223"/>
      <x:c r="C76" s="223"/>
      <x:c r="D76" s="223"/>
      <x:c r="E76" s="282"/>
      <x:c r="F76" s="282"/>
      <x:c r="G76" s="223"/>
      <x:c r="H76" s="223"/>
      <x:c r="I76" s="223"/>
      <x:c r="J76" s="292"/>
      <x:c r="K76" s="223"/>
      <x:c r="L76" s="223"/>
      <x:c r="M76" s="223"/>
      <x:c r="N76" s="223"/>
      <x:c r="O76" s="223"/>
    </x:row>
    <x:row r="77">
      <x:c r="A77" s="223"/>
      <x:c r="B77" s="223"/>
      <x:c r="C77" s="223"/>
      <x:c r="D77" s="223"/>
      <x:c r="E77" s="282"/>
      <x:c r="F77" s="282"/>
      <x:c r="G77" s="223"/>
      <x:c r="H77" s="223"/>
      <x:c r="I77" s="223"/>
      <x:c r="J77" s="292"/>
      <x:c r="K77" s="223"/>
      <x:c r="L77" s="223"/>
      <x:c r="M77" s="223"/>
      <x:c r="N77" s="223"/>
      <x:c r="O77" s="223"/>
    </x:row>
    <x:row r="78">
      <x:c r="A78" s="223"/>
      <x:c r="B78" s="223"/>
      <x:c r="C78" s="223"/>
      <x:c r="D78" s="223"/>
      <x:c r="E78" s="282"/>
      <x:c r="F78" s="282"/>
      <x:c r="G78" s="223"/>
      <x:c r="H78" s="223"/>
      <x:c r="I78" s="223"/>
      <x:c r="J78" s="292"/>
      <x:c r="K78" s="223"/>
      <x:c r="L78" s="223"/>
      <x:c r="M78" s="223"/>
      <x:c r="N78" s="223"/>
      <x:c r="O78" s="223"/>
    </x:row>
    <x:row r="79">
      <x:c r="A79" s="223"/>
      <x:c r="B79" s="223"/>
      <x:c r="C79" s="223"/>
      <x:c r="D79" s="223"/>
      <x:c r="E79" s="282"/>
      <x:c r="F79" s="282"/>
      <x:c r="G79" s="223"/>
      <x:c r="H79" s="223"/>
      <x:c r="I79" s="223"/>
      <x:c r="J79" s="292"/>
      <x:c r="K79" s="223"/>
      <x:c r="L79" s="223"/>
      <x:c r="M79" s="223"/>
      <x:c r="N79" s="223"/>
      <x:c r="O79" s="223"/>
    </x:row>
    <x:row r="80">
      <x:c r="A80" s="223"/>
      <x:c r="B80" s="223"/>
      <x:c r="C80" s="223"/>
      <x:c r="D80" s="223"/>
      <x:c r="E80" s="282"/>
      <x:c r="F80" s="282"/>
      <x:c r="G80" s="223"/>
      <x:c r="H80" s="223"/>
      <x:c r="I80" s="223"/>
      <x:c r="J80" s="292"/>
      <x:c r="K80" s="223"/>
      <x:c r="L80" s="223"/>
      <x:c r="M80" s="223"/>
      <x:c r="N80" s="223"/>
      <x:c r="O80" s="223"/>
    </x:row>
    <x:row r="81">
      <x:c r="A81" s="223"/>
      <x:c r="B81" s="223"/>
      <x:c r="C81" s="223"/>
      <x:c r="D81" s="223"/>
      <x:c r="E81" s="282"/>
      <x:c r="F81" s="282"/>
      <x:c r="G81" s="223"/>
      <x:c r="H81" s="223"/>
      <x:c r="I81" s="223"/>
      <x:c r="J81" s="292"/>
      <x:c r="K81" s="223"/>
      <x:c r="L81" s="223"/>
      <x:c r="M81" s="223"/>
      <x:c r="N81" s="223"/>
      <x:c r="O81" s="223"/>
    </x:row>
    <x:row r="82">
      <x:c r="A82" s="223"/>
      <x:c r="B82" s="223"/>
      <x:c r="C82" s="223"/>
      <x:c r="D82" s="223"/>
      <x:c r="E82" s="282"/>
      <x:c r="F82" s="282"/>
      <x:c r="G82" s="223"/>
      <x:c r="H82" s="223"/>
      <x:c r="I82" s="223"/>
      <x:c r="J82" s="292"/>
      <x:c r="K82" s="223"/>
      <x:c r="L82" s="223"/>
      <x:c r="M82" s="223"/>
      <x:c r="N82" s="223"/>
      <x:c r="O82" s="223"/>
    </x:row>
    <x:row r="83">
      <x:c r="A83" s="223"/>
      <x:c r="B83" s="223"/>
      <x:c r="C83" s="223"/>
      <x:c r="D83" s="223"/>
      <x:c r="E83" s="282"/>
      <x:c r="F83" s="282"/>
      <x:c r="G83" s="223"/>
      <x:c r="H83" s="223"/>
      <x:c r="I83" s="223"/>
      <x:c r="J83" s="292"/>
      <x:c r="K83" s="223"/>
      <x:c r="L83" s="223"/>
      <x:c r="M83" s="223"/>
      <x:c r="N83" s="223"/>
      <x:c r="O83" s="223"/>
    </x:row>
    <x:row r="84">
      <x:c r="A84" s="223"/>
      <x:c r="B84" s="223"/>
      <x:c r="C84" s="223"/>
      <x:c r="D84" s="223"/>
      <x:c r="E84" s="282"/>
      <x:c r="F84" s="282"/>
      <x:c r="G84" s="223"/>
      <x:c r="H84" s="223"/>
      <x:c r="I84" s="223"/>
      <x:c r="J84" s="292"/>
      <x:c r="K84" s="223"/>
      <x:c r="L84" s="223"/>
      <x:c r="M84" s="223"/>
      <x:c r="N84" s="223"/>
      <x:c r="O84" s="223"/>
    </x:row>
    <x:row r="85">
      <x:c r="A85" s="223"/>
      <x:c r="B85" s="223"/>
      <x:c r="C85" s="223"/>
      <x:c r="D85" s="223"/>
      <x:c r="E85" s="282"/>
      <x:c r="F85" s="282"/>
      <x:c r="G85" s="223"/>
      <x:c r="H85" s="223"/>
      <x:c r="I85" s="223"/>
      <x:c r="J85" s="292"/>
      <x:c r="K85" s="223"/>
      <x:c r="L85" s="223"/>
      <x:c r="M85" s="223"/>
      <x:c r="N85" s="223"/>
      <x:c r="O85" s="223"/>
    </x:row>
    <x:row r="86">
      <x:c r="A86" s="223"/>
      <x:c r="B86" s="223"/>
      <x:c r="C86" s="223"/>
      <x:c r="D86" s="223"/>
      <x:c r="E86" s="282"/>
      <x:c r="F86" s="282"/>
      <x:c r="G86" s="223"/>
      <x:c r="H86" s="223"/>
      <x:c r="I86" s="223"/>
      <x:c r="J86" s="292"/>
      <x:c r="K86" s="223"/>
      <x:c r="L86" s="223"/>
      <x:c r="M86" s="223"/>
      <x:c r="N86" s="223"/>
      <x:c r="O86" s="223"/>
    </x:row>
    <x:row r="87">
      <x:c r="A87" s="223"/>
      <x:c r="B87" s="223"/>
      <x:c r="C87" s="223"/>
      <x:c r="D87" s="223"/>
      <x:c r="E87" s="282"/>
      <x:c r="F87" s="282"/>
      <x:c r="G87" s="223"/>
      <x:c r="H87" s="223"/>
      <x:c r="I87" s="223"/>
      <x:c r="J87" s="292"/>
      <x:c r="K87" s="223"/>
      <x:c r="L87" s="223"/>
      <x:c r="M87" s="223"/>
      <x:c r="N87" s="223"/>
      <x:c r="O87" s="223"/>
    </x:row>
    <x:row r="88">
      <x:c r="A88" s="223"/>
      <x:c r="B88" s="223"/>
      <x:c r="C88" s="223"/>
      <x:c r="D88" s="223"/>
      <x:c r="E88" s="282"/>
      <x:c r="F88" s="282"/>
      <x:c r="G88" s="223"/>
      <x:c r="H88" s="223"/>
      <x:c r="I88" s="223"/>
      <x:c r="J88" s="292"/>
      <x:c r="K88" s="223"/>
      <x:c r="L88" s="223"/>
      <x:c r="M88" s="223"/>
      <x:c r="N88" s="223"/>
      <x:c r="O88" s="223"/>
    </x:row>
    <x:row r="89">
      <x:c r="A89" s="223"/>
      <x:c r="B89" s="223"/>
      <x:c r="C89" s="223"/>
      <x:c r="D89" s="223"/>
      <x:c r="E89" s="282"/>
      <x:c r="F89" s="282"/>
      <x:c r="G89" s="223"/>
      <x:c r="H89" s="223"/>
      <x:c r="I89" s="223"/>
      <x:c r="J89" s="292"/>
      <x:c r="K89" s="223"/>
      <x:c r="L89" s="223"/>
      <x:c r="M89" s="223"/>
      <x:c r="N89" s="223"/>
      <x:c r="O89" s="223"/>
    </x:row>
    <x:row r="90">
      <x:c r="A90" s="223"/>
      <x:c r="B90" s="223"/>
      <x:c r="C90" s="223"/>
      <x:c r="D90" s="223"/>
      <x:c r="E90" s="282"/>
      <x:c r="F90" s="282"/>
      <x:c r="G90" s="223"/>
      <x:c r="H90" s="223"/>
      <x:c r="I90" s="223"/>
      <x:c r="J90" s="292"/>
      <x:c r="K90" s="223"/>
      <x:c r="L90" s="223"/>
      <x:c r="M90" s="223"/>
      <x:c r="N90" s="223"/>
      <x:c r="O90" s="223"/>
    </x:row>
    <x:row r="91">
      <x:c r="A91" s="223"/>
      <x:c r="B91" s="223"/>
      <x:c r="C91" s="223"/>
      <x:c r="D91" s="223"/>
      <x:c r="E91" s="282"/>
      <x:c r="F91" s="282"/>
      <x:c r="G91" s="223"/>
      <x:c r="H91" s="223"/>
      <x:c r="I91" s="223"/>
      <x:c r="J91" s="292"/>
      <x:c r="K91" s="223"/>
      <x:c r="L91" s="223"/>
      <x:c r="M91" s="223"/>
      <x:c r="N91" s="223"/>
      <x:c r="O91" s="223"/>
    </x:row>
    <x:row r="92">
      <x:c r="A92" s="223"/>
      <x:c r="B92" s="223"/>
      <x:c r="C92" s="223"/>
      <x:c r="D92" s="223"/>
      <x:c r="E92" s="282"/>
      <x:c r="F92" s="282"/>
      <x:c r="G92" s="223"/>
      <x:c r="H92" s="223"/>
      <x:c r="I92" s="223"/>
      <x:c r="J92" s="292"/>
      <x:c r="K92" s="223"/>
      <x:c r="L92" s="223"/>
      <x:c r="M92" s="223"/>
      <x:c r="N92" s="223"/>
      <x:c r="O92" s="223"/>
    </x:row>
    <x:row r="93">
      <x:c r="A93" s="223"/>
      <x:c r="B93" s="223"/>
      <x:c r="C93" s="223"/>
      <x:c r="D93" s="223"/>
      <x:c r="E93" s="282"/>
      <x:c r="F93" s="282"/>
      <x:c r="G93" s="223"/>
      <x:c r="H93" s="223"/>
      <x:c r="I93" s="223"/>
      <x:c r="J93" s="292"/>
      <x:c r="K93" s="223"/>
      <x:c r="L93" s="223"/>
      <x:c r="M93" s="223"/>
      <x:c r="N93" s="223"/>
      <x:c r="O93" s="223"/>
    </x:row>
    <x:row r="94">
      <x:c r="A94" s="223"/>
      <x:c r="B94" s="223"/>
      <x:c r="C94" s="223"/>
      <x:c r="D94" s="223"/>
      <x:c r="E94" s="282"/>
      <x:c r="F94" s="282"/>
      <x:c r="G94" s="223"/>
      <x:c r="H94" s="223"/>
      <x:c r="I94" s="223"/>
      <x:c r="J94" s="292"/>
      <x:c r="K94" s="223"/>
      <x:c r="L94" s="223"/>
      <x:c r="M94" s="223"/>
      <x:c r="N94" s="223"/>
      <x:c r="O94" s="223"/>
    </x:row>
    <x:row r="95">
      <x:c r="A95" s="223"/>
      <x:c r="B95" s="223"/>
      <x:c r="C95" s="223"/>
      <x:c r="D95" s="223"/>
      <x:c r="E95" s="282"/>
      <x:c r="F95" s="282"/>
      <x:c r="G95" s="223"/>
      <x:c r="H95" s="223"/>
      <x:c r="I95" s="223"/>
      <x:c r="J95" s="292"/>
      <x:c r="K95" s="223"/>
      <x:c r="L95" s="223"/>
      <x:c r="M95" s="223"/>
      <x:c r="N95" s="223"/>
      <x:c r="O95" s="223"/>
    </x:row>
    <x:row r="96">
      <x:c r="A96" s="223"/>
      <x:c r="B96" s="223"/>
      <x:c r="C96" s="223"/>
      <x:c r="D96" s="223"/>
      <x:c r="E96" s="282"/>
      <x:c r="F96" s="282"/>
      <x:c r="G96" s="223"/>
      <x:c r="H96" s="223"/>
      <x:c r="I96" s="223"/>
      <x:c r="J96" s="292"/>
      <x:c r="K96" s="223"/>
      <x:c r="L96" s="223"/>
      <x:c r="M96" s="223"/>
      <x:c r="N96" s="223"/>
      <x:c r="O96" s="223"/>
    </x:row>
    <x:row r="97">
      <x:c r="A97" s="223"/>
      <x:c r="B97" s="223"/>
      <x:c r="C97" s="223"/>
      <x:c r="D97" s="223"/>
      <x:c r="E97" s="282"/>
      <x:c r="F97" s="282"/>
      <x:c r="G97" s="223"/>
      <x:c r="H97" s="223"/>
      <x:c r="I97" s="223"/>
      <x:c r="J97" s="292"/>
      <x:c r="K97" s="223"/>
      <x:c r="L97" s="223"/>
      <x:c r="M97" s="223"/>
      <x:c r="N97" s="223"/>
      <x:c r="O97" s="223"/>
    </x:row>
    <x:row r="98">
      <x:c r="A98" s="223"/>
      <x:c r="B98" s="223"/>
      <x:c r="C98" s="223"/>
      <x:c r="D98" s="223"/>
      <x:c r="E98" s="282"/>
      <x:c r="F98" s="282"/>
      <x:c r="G98" s="223"/>
      <x:c r="H98" s="223"/>
      <x:c r="I98" s="223"/>
      <x:c r="J98" s="292"/>
      <x:c r="K98" s="223"/>
      <x:c r="L98" s="223"/>
      <x:c r="M98" s="223"/>
      <x:c r="N98" s="223"/>
      <x:c r="O98" s="223"/>
    </x:row>
    <x:row r="99">
      <x:c r="A99" s="223"/>
      <x:c r="B99" s="223"/>
      <x:c r="C99" s="223"/>
      <x:c r="D99" s="223"/>
      <x:c r="E99" s="282"/>
      <x:c r="F99" s="282"/>
      <x:c r="G99" s="223"/>
      <x:c r="H99" s="223"/>
      <x:c r="I99" s="223"/>
      <x:c r="J99" s="292"/>
      <x:c r="K99" s="223"/>
      <x:c r="L99" s="223"/>
      <x:c r="M99" s="223"/>
      <x:c r="N99" s="223"/>
      <x:c r="O99" s="223"/>
    </x:row>
    <x:row r="100">
      <x:c r="A100" s="223"/>
      <x:c r="B100" s="223"/>
      <x:c r="C100" s="223"/>
      <x:c r="D100" s="223"/>
      <x:c r="E100" s="282"/>
      <x:c r="F100" s="282"/>
      <x:c r="G100" s="223"/>
      <x:c r="H100" s="223"/>
      <x:c r="I100" s="223"/>
      <x:c r="J100" s="292"/>
      <x:c r="K100" s="223"/>
      <x:c r="L100" s="223"/>
      <x:c r="M100" s="223"/>
      <x:c r="N100" s="223"/>
      <x:c r="O100" s="223"/>
    </x:row>
    <x:row r="101">
      <x:c r="A101" s="223"/>
      <x:c r="B101" s="223"/>
      <x:c r="C101" s="223"/>
      <x:c r="D101" s="223"/>
      <x:c r="E101" s="282"/>
      <x:c r="F101" s="282"/>
      <x:c r="G101" s="223"/>
      <x:c r="H101" s="223"/>
      <x:c r="I101" s="223"/>
      <x:c r="J101" s="292"/>
      <x:c r="K101" s="223"/>
      <x:c r="L101" s="223"/>
      <x:c r="M101" s="223"/>
      <x:c r="N101" s="223"/>
      <x:c r="O101" s="223"/>
    </x:row>
    <x:row r="102">
      <x:c r="A102" s="223"/>
      <x:c r="B102" s="223"/>
      <x:c r="C102" s="223"/>
      <x:c r="D102" s="223"/>
      <x:c r="E102" s="282"/>
      <x:c r="F102" s="282"/>
      <x:c r="G102" s="223"/>
      <x:c r="H102" s="223"/>
      <x:c r="I102" s="223"/>
      <x:c r="J102" s="292"/>
      <x:c r="K102" s="223"/>
      <x:c r="L102" s="223"/>
      <x:c r="M102" s="223"/>
      <x:c r="N102" s="223"/>
      <x:c r="O102" s="223"/>
    </x:row>
    <x:row r="103">
      <x:c r="A103" s="223"/>
      <x:c r="B103" s="223"/>
      <x:c r="C103" s="223"/>
      <x:c r="D103" s="223"/>
      <x:c r="E103" s="282"/>
      <x:c r="F103" s="282"/>
      <x:c r="G103" s="223"/>
      <x:c r="H103" s="223"/>
      <x:c r="I103" s="223"/>
      <x:c r="J103" s="292"/>
      <x:c r="K103" s="223"/>
      <x:c r="L103" s="223"/>
      <x:c r="M103" s="223"/>
      <x:c r="N103" s="223"/>
      <x:c r="O103" s="223"/>
    </x:row>
    <x:row r="104">
      <x:c r="A104" s="223"/>
      <x:c r="B104" s="223"/>
      <x:c r="C104" s="223"/>
      <x:c r="D104" s="223"/>
      <x:c r="E104" s="282"/>
      <x:c r="F104" s="282"/>
      <x:c r="G104" s="223"/>
      <x:c r="H104" s="223"/>
      <x:c r="I104" s="223"/>
      <x:c r="J104" s="292"/>
      <x:c r="K104" s="223"/>
      <x:c r="L104" s="223"/>
      <x:c r="M104" s="223"/>
      <x:c r="N104" s="223"/>
      <x:c r="O104" s="223"/>
    </x:row>
  </x:sheetData>
  <x:mergeCells>
    <x:mergeCell ref="A1:O1"/>
    <x:mergeCell ref="A2:H2"/>
  </x:mergeCells>
  <x:dataValidations count="4">
    <x:dataValidation type="list" sqref="C5:C104">
      <x:formula1>"日文,英文,中文,韩文,其他"</x:formula1>
    </x:dataValidation>
    <x:dataValidation type="list" sqref="D5:D104">
      <x:formula1>"PSA10,BGS10,CGC10,RAW"</x:formula1>
    </x:dataValidation>
    <x:dataValidation type="list" sqref="G5:G104">
      <x:formula1>"eBay,ALT,Card Hobby,Fanatics Collect,PokerColor"</x:formula1>
    </x:dataValidation>
    <x:dataValidation type="list" sqref="I5:I104">
      <x:formula1>"待研究,跟踪,触发,已加入扫描,放弃,谨慎"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0729daedae44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56" hidden="0" customWidth="1"/>
    <x:col min="4" max="4" width="16" hidden="0" customWidth="1"/>
  </x:cols>
  <x:sheetData>
    <x:row r="1" ht="34" customHeight="1">
      <x:c r="A1" s="221" t="str">
        <x:v>字段说明</x:v>
      </x:c>
      <x:c r="B1" s="221" t="str">
        <x:v>字段说明</x:v>
      </x:c>
      <x:c r="C1" s="221" t="str">
        <x:v>字段说明</x:v>
      </x:c>
      <x:c r="D1" s="221" t="str">
        <x:v>字段说明</x:v>
      </x:c>
      <x:c r="E1" s="223"/>
      <x:c r="F1" s="223"/>
      <x:c r="G1" s="223"/>
      <x:c r="H1" s="223"/>
    </x:row>
    <x:row r="2" ht="30" customHeight="1">
      <x:c r="A2" s="222" t="str">
        <x:v>记录主要字段口径，方便之后维护和复盘。</x:v>
      </x:c>
      <x:c r="B2" s="222" t="str">
        <x:v>记录主要字段口径，方便之后维护和复盘。</x:v>
      </x:c>
      <x:c r="C2" s="222" t="str">
        <x:v>记录主要字段口径，方便之后维护和复盘。</x:v>
      </x:c>
      <x:c r="D2" s="222" t="str">
        <x:v>记录主要字段口径，方便之后维护和复盘。</x:v>
      </x:c>
      <x:c r="E2" s="222" t="str">
        <x:v>记录主要字段口径，方便之后维护和复盘。</x:v>
      </x:c>
      <x:c r="F2" s="222" t="str">
        <x:v>记录主要字段口径，方便之后维护和复盘。</x:v>
      </x:c>
      <x:c r="G2" s="222" t="str">
        <x:v>记录主要字段口径，方便之后维护和复盘。</x:v>
      </x:c>
      <x:c r="H2" s="222" t="str">
        <x:v>记录主要字段口径，方便之后维护和复盘。</x:v>
      </x:c>
    </x:row>
    <x:row r="3">
      <x:c r="A3" s="223"/>
      <x:c r="B3" s="223"/>
      <x:c r="C3" s="223"/>
      <x:c r="D3" s="223"/>
      <x:c r="E3" s="223"/>
      <x:c r="F3" s="223"/>
      <x:c r="G3" s="223"/>
      <x:c r="H3" s="223"/>
    </x:row>
    <x:row r="4">
      <x:c r="A4" s="312" t="str">
        <x:v>工作表</x:v>
      </x:c>
      <x:c r="B4" s="313" t="str">
        <x:v>字段/区域</x:v>
      </x:c>
      <x:c r="C4" s="313" t="str">
        <x:v>含义</x:v>
      </x:c>
      <x:c r="D4" s="314" t="str">
        <x:v>维护方式</x:v>
      </x:c>
      <x:c r="E4" s="223"/>
      <x:c r="F4" s="223"/>
      <x:c r="G4" s="223"/>
      <x:c r="H4" s="223"/>
    </x:row>
    <x:row r="5">
      <x:c r="A5" s="315" t="str">
        <x:v>实时设置</x:v>
      </x:c>
      <x:c r="B5" s="316" t="str">
        <x:v>实时模式</x:v>
      </x:c>
      <x:c r="C5" s="316" t="str">
        <x:v>API 表示可自动刷新；链接监控表示保留搜索链接并人工复核；待接入表示暂不自动抓取</x:v>
      </x:c>
      <x:c r="D5" s="317" t="str">
        <x:v>手动维护</x:v>
      </x:c>
      <x:c r="E5" s="223"/>
      <x:c r="F5" s="223"/>
      <x:c r="G5" s="223"/>
      <x:c r="H5" s="223"/>
    </x:row>
    <x:row r="6">
      <x:c r="A6" s="318" t="str">
        <x:v>实时行情</x:v>
      </x:c>
      <x:c r="B6" s="319" t="str">
        <x:v>买价CNY / 卖价CNY</x:v>
      </x:c>
      <x:c r="C6" s="319" t="str">
        <x:v>机会扫描直接引用的价格来源；刷新脚本或人工复核应只更新这张表</x:v>
      </x:c>
      <x:c r="D6" s="320" t="str">
        <x:v>脚本/手动</x:v>
      </x:c>
      <x:c r="E6" s="223"/>
      <x:c r="F6" s="223"/>
      <x:c r="G6" s="223"/>
      <x:c r="H6" s="223"/>
    </x:row>
    <x:row r="7">
      <x:c r="A7" s="318" t="str">
        <x:v>实时行情</x:v>
      </x:c>
      <x:c r="B7" s="319" t="str">
        <x:v>更新时间 / 状态</x:v>
      </x:c>
      <x:c r="C7" s="319" t="str">
        <x:v>判断数据新鲜度和是否可用于决策</x:v>
      </x:c>
      <x:c r="D7" s="320" t="str">
        <x:v>脚本/手动</x:v>
      </x:c>
      <x:c r="E7" s="223"/>
      <x:c r="F7" s="223"/>
      <x:c r="G7" s="223"/>
      <x:c r="H7" s="223"/>
    </x:row>
    <x:row r="8">
      <x:c r="A8" s="318" t="str">
        <x:v>实时行情</x:v>
      </x:c>
      <x:c r="B8" s="319" t="str">
        <x:v>搜索词 / 源URL</x:v>
      </x:c>
      <x:c r="C8" s="319" t="str">
        <x:v>用于 API 查询或快速跳转到平台复核</x:v>
      </x:c>
      <x:c r="D8" s="320" t="str">
        <x:v>手动维护</x:v>
      </x:c>
      <x:c r="E8" s="223"/>
      <x:c r="F8" s="223"/>
      <x:c r="G8" s="223"/>
      <x:c r="H8" s="223"/>
    </x:row>
    <x:row r="9">
      <x:c r="A9" s="318" t="str">
        <x:v>平台参数</x:v>
      </x:c>
      <x:c r="B9" s="319" t="str">
        <x:v>买家佣金% / 卖家佣金%</x:v>
      </x:c>
      <x:c r="C9" s="319" t="str">
        <x:v>平台成交相关费率，按实际账号、品类和地区更新</x:v>
      </x:c>
      <x:c r="D9" s="320" t="str">
        <x:v>手动输入</x:v>
      </x:c>
      <x:c r="E9" s="223"/>
      <x:c r="F9" s="223"/>
      <x:c r="G9" s="223"/>
      <x:c r="H9" s="223"/>
    </x:row>
    <x:row r="10">
      <x:c r="A10" s="318" t="str">
        <x:v>平台参数</x:v>
      </x:c>
      <x:c r="B10" s="319" t="str">
        <x:v>入库/国际运费 / 出库/国内运费</x:v>
      </x:c>
      <x:c r="C10" s="319" t="str">
        <x:v>单卡平均物流、保险、包装成本</x:v>
      </x:c>
      <x:c r="D10" s="320" t="str">
        <x:v>手动输入</x:v>
      </x:c>
      <x:c r="E10" s="223"/>
      <x:c r="F10" s="223"/>
      <x:c r="G10" s="223"/>
      <x:c r="H10" s="223"/>
    </x:row>
    <x:row r="11">
      <x:c r="A11" s="318" t="str">
        <x:v>机会扫描</x:v>
      </x:c>
      <x:c r="B11" s="319" t="str">
        <x:v>五个平台买价</x:v>
      </x:c>
      <x:c r="C11" s="319" t="str">
        <x:v>你能实际拿到的可成交买入价，空白或0表示暂不可买</x:v>
      </x:c>
      <x:c r="D11" s="320" t="str">
        <x:v>手动输入</x:v>
      </x:c>
      <x:c r="E11" s="223"/>
      <x:c r="F11" s="223"/>
      <x:c r="G11" s="223"/>
      <x:c r="H11" s="223"/>
    </x:row>
    <x:row r="12">
      <x:c r="A12" s="318" t="str">
        <x:v>机会扫描</x:v>
      </x:c>
      <x:c r="B12" s="319" t="str">
        <x:v>五个平台卖价</x:v>
      </x:c>
      <x:c r="C12" s="319" t="str">
        <x:v>你预计或观察到的可成交卖出价，空白或0表示暂不可卖</x:v>
      </x:c>
      <x:c r="D12" s="320" t="str">
        <x:v>手动输入</x:v>
      </x:c>
      <x:c r="E12" s="223"/>
      <x:c r="F12" s="223"/>
      <x:c r="G12" s="223"/>
      <x:c r="H12" s="223"/>
    </x:row>
    <x:row r="13">
      <x:c r="A13" s="318" t="str">
        <x:v>机会扫描</x:v>
      </x:c>
      <x:c r="B13" s="319" t="str">
        <x:v>最低买价 / 最高卖价</x:v>
      </x:c>
      <x:c r="C13" s="319" t="str">
        <x:v>自动挑选最便宜买入和最贵卖出</x:v>
      </x:c>
      <x:c r="D13" s="320" t="str">
        <x:v>公式</x:v>
      </x:c>
      <x:c r="E13" s="223"/>
      <x:c r="F13" s="223"/>
      <x:c r="G13" s="223"/>
      <x:c r="H13" s="223"/>
    </x:row>
    <x:row r="14">
      <x:c r="A14" s="318" t="str">
        <x:v>机会扫描</x:v>
      </x:c>
      <x:c r="B14" s="319" t="str">
        <x:v>买方总成本</x:v>
      </x:c>
      <x:c r="C14" s="319" t="str">
        <x:v>最低买价加买方费用、支付费和入库运费</x:v>
      </x:c>
      <x:c r="D14" s="320" t="str">
        <x:v>公式</x:v>
      </x:c>
      <x:c r="E14" s="223"/>
      <x:c r="F14" s="223"/>
      <x:c r="G14" s="223"/>
      <x:c r="H14" s="223"/>
    </x:row>
    <x:row r="15">
      <x:c r="A15" s="318" t="str">
        <x:v>机会扫描</x:v>
      </x:c>
      <x:c r="B15" s="319" t="str">
        <x:v>卖方净回款</x:v>
      </x:c>
      <x:c r="C15" s="319" t="str">
        <x:v>最高卖价扣除卖方费用、支付费和出库运费</x:v>
      </x:c>
      <x:c r="D15" s="320" t="str">
        <x:v>公式</x:v>
      </x:c>
      <x:c r="E15" s="223"/>
      <x:c r="F15" s="223"/>
      <x:c r="G15" s="223"/>
      <x:c r="H15" s="223"/>
    </x:row>
    <x:row r="16">
      <x:c r="A16" s="318" t="str">
        <x:v>机会扫描</x:v>
      </x:c>
      <x:c r="B16" s="319" t="str">
        <x:v>机会评分</x:v>
      </x:c>
      <x:c r="C16" s="319" t="str">
        <x:v>流动性、热度、风险和ROI的简化综合评分</x:v>
      </x:c>
      <x:c r="D16" s="320" t="str">
        <x:v>公式</x:v>
      </x:c>
      <x:c r="E16" s="223"/>
      <x:c r="F16" s="223"/>
      <x:c r="G16" s="223"/>
      <x:c r="H16" s="223"/>
    </x:row>
    <x:row r="17">
      <x:c r="A17" s="318" t="str">
        <x:v>机会扫描</x:v>
      </x:c>
      <x:c r="B17" s="319" t="str">
        <x:v>目标买入价</x:v>
      </x:c>
      <x:c r="C17" s="319" t="str">
        <x:v>在当前预期卖价和费用下，按约18%目标ROI倒推</x:v>
      </x:c>
      <x:c r="D17" s="320" t="str">
        <x:v>公式</x:v>
      </x:c>
      <x:c r="E17" s="223"/>
      <x:c r="F17" s="223"/>
      <x:c r="G17" s="223"/>
      <x:c r="H17" s="223"/>
    </x:row>
    <x:row r="18">
      <x:c r="A18" s="318" t="str">
        <x:v>交易台账</x:v>
      </x:c>
      <x:c r="B18" s="319" t="str">
        <x:v>总成本</x:v>
      </x:c>
      <x:c r="C18" s="319" t="str">
        <x:v>购入价加购入费率和入库运费</x:v>
      </x:c>
      <x:c r="D18" s="320" t="str">
        <x:v>公式</x:v>
      </x:c>
      <x:c r="E18" s="223"/>
      <x:c r="F18" s="223"/>
      <x:c r="G18" s="223"/>
      <x:c r="H18" s="223"/>
    </x:row>
    <x:row r="19">
      <x:c r="A19" s="318" t="str">
        <x:v>交易台账</x:v>
      </x:c>
      <x:c r="B19" s="319" t="str">
        <x:v>净回款</x:v>
      </x:c>
      <x:c r="C19" s="319" t="str">
        <x:v>售出价扣卖方佣金、支付/提现费和出货运费</x:v>
      </x:c>
      <x:c r="D19" s="320" t="str">
        <x:v>公式</x:v>
      </x:c>
      <x:c r="E19" s="223"/>
      <x:c r="F19" s="223"/>
      <x:c r="G19" s="223"/>
      <x:c r="H19" s="223"/>
    </x:row>
    <x:row r="20">
      <x:c r="A20" s="318" t="str">
        <x:v>交易台账</x:v>
      </x:c>
      <x:c r="B20" s="319" t="str">
        <x:v>实际利润 / ROI</x:v>
      </x:c>
      <x:c r="C20" s="319" t="str">
        <x:v>真实售出后用于复盘的核心指标</x:v>
      </x:c>
      <x:c r="D20" s="320" t="str">
        <x:v>公式</x:v>
      </x:c>
      <x:c r="E20" s="223"/>
      <x:c r="F20" s="223"/>
      <x:c r="G20" s="223"/>
      <x:c r="H20" s="223"/>
    </x:row>
    <x:row r="21">
      <x:c r="A21" s="321" t="str">
        <x:v>观察清单</x:v>
      </x:c>
      <x:c r="B21" s="322" t="str">
        <x:v>触发条件</x:v>
      </x:c>
      <x:c r="C21" s="322" t="str">
        <x:v>进入机会扫描前的价格或事件条件</x:v>
      </x:c>
      <x:c r="D21" s="323" t="str">
        <x:v>手动输入</x:v>
      </x:c>
      <x:c r="E21" s="223"/>
      <x:c r="F21" s="223"/>
      <x:c r="G21" s="223"/>
      <x:c r="H21" s="223"/>
    </x:row>
  </x:sheetData>
  <x:mergeCells>
    <x:mergeCell ref="A1:D1"/>
    <x:mergeCell ref="A2:H2"/>
  </x:mergeCells>
  <x:pageMargins left="0.7" right="0.7" top="0.75" bottom="0.75" header="0.3" footer="0.3"/>
  <x:tableParts count="1">
    <x:tablePart xmlns:r="http://schemas.openxmlformats.org/officeDocument/2006/relationships" r:id="R8289f4188bce4150"/>
  </x:tableParts>
</x:worksheet>
</file>